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Plan" sheetId="2" state="visible" r:id="rId2"/>
    <sheet xmlns:r="http://schemas.openxmlformats.org/officeDocument/2006/relationships" name="Syllabus" sheetId="3" state="visible" r:id="rId3"/>
    <sheet xmlns:r="http://schemas.openxmlformats.org/officeDocument/2006/relationships" name="Daily log" sheetId="4" state="visible" r:id="rId4"/>
    <sheet xmlns:r="http://schemas.openxmlformats.org/officeDocument/2006/relationships" name="Week" sheetId="5" state="visible" r:id="rId5"/>
    <sheet xmlns:r="http://schemas.openxmlformats.org/officeDocument/2006/relationships" name="Sources" sheetId="6" state="visible" r:id="rId6"/>
  </sheets>
  <definedNames/>
  <calcPr calcId="124519" fullCalcOnLoad="1"/>
</workbook>
</file>

<file path=xl/styles.xml><?xml version="1.0" encoding="utf-8"?>
<styleSheet xmlns="http://schemas.openxmlformats.org/spreadsheetml/2006/main">
  <numFmts count="4">
    <numFmt numFmtId="164" formatCode="yyyy-mm-dd"/>
    <numFmt numFmtId="165" formatCode="dd mmm yyyy"/>
    <numFmt numFmtId="166" formatCode="dd mmm"/>
    <numFmt numFmtId="167" formatCode="ddd dd mmm"/>
  </numFmts>
  <fonts count="11">
    <font>
      <name val="Calibri"/>
      <family val="2"/>
      <color theme="1"/>
      <sz val="11"/>
      <scheme val="minor"/>
    </font>
    <font>
      <name val="Arial"/>
      <b val="1"/>
      <color rgb="00FFFFFF"/>
      <sz val="16"/>
    </font>
    <font>
      <name val="Arial"/>
      <color rgb="00B9BDE0"/>
      <sz val="10"/>
    </font>
    <font>
      <name val="Arial"/>
      <b val="1"/>
      <color rgb="001C2463"/>
      <sz val="11"/>
    </font>
    <font>
      <name val="Arial"/>
      <color rgb="00191C33"/>
      <sz val="11"/>
    </font>
    <font>
      <name val="Arial"/>
      <b val="1"/>
      <color rgb="00B23A2C"/>
      <sz val="22"/>
    </font>
    <font>
      <name val="Arial"/>
      <b val="1"/>
      <color rgb="0023804F"/>
      <sz val="18"/>
    </font>
    <font>
      <name val="Arial"/>
      <b val="1"/>
    </font>
    <font>
      <name val="Arial"/>
      <b val="1"/>
      <color rgb="00FFFFFF"/>
    </font>
    <font>
      <name val="Arial"/>
      <color rgb="005D6079"/>
      <sz val="10"/>
    </font>
    <font>
      <name val="Arial"/>
      <b val="1"/>
      <color rgb="0023804F"/>
      <sz val="16"/>
    </font>
  </fonts>
  <fills count="5">
    <fill>
      <patternFill/>
    </fill>
    <fill>
      <patternFill patternType="gray125"/>
    </fill>
    <fill>
      <patternFill patternType="solid">
        <fgColor rgb="001C2463"/>
      </patternFill>
    </fill>
    <fill>
      <patternFill patternType="solid">
        <fgColor rgb="00FFF6DD"/>
      </patternFill>
    </fill>
    <fill>
      <patternFill patternType="solid">
        <fgColor rgb="00E6E6F1"/>
      </patternFill>
    </fill>
  </fills>
  <borders count="2">
    <border>
      <left/>
      <right/>
      <top/>
      <bottom/>
      <diagonal/>
    </border>
    <border>
      <left style="thin">
        <color rgb="00DCDBE7"/>
      </left>
      <right style="thin">
        <color rgb="00DCDBE7"/>
      </right>
      <top style="thin">
        <color rgb="00DCDBE7"/>
      </top>
      <bottom style="thin">
        <color rgb="00DCDBE7"/>
      </bottom>
    </border>
  </borders>
  <cellStyleXfs count="1">
    <xf numFmtId="0" fontId="0" fillId="0" borderId="0"/>
  </cellStyleXfs>
  <cellXfs count="23">
    <xf numFmtId="0" fontId="0" fillId="0" borderId="0" pivotButton="0" quotePrefix="0" xfId="0"/>
    <xf numFmtId="0" fontId="1" fillId="2" borderId="0" pivotButton="0" quotePrefix="0" xfId="0"/>
    <xf numFmtId="0" fontId="0" fillId="2" borderId="0" pivotButton="0" quotePrefix="0" xfId="0"/>
    <xf numFmtId="0" fontId="2" fillId="2" borderId="0" pivotButton="0" quotePrefix="0" xfId="0"/>
    <xf numFmtId="0" fontId="3" fillId="0" borderId="0" applyAlignment="1" pivotButton="0" quotePrefix="0" xfId="0">
      <alignment wrapText="1"/>
    </xf>
    <xf numFmtId="0" fontId="4" fillId="0" borderId="0" applyAlignment="1" pivotButton="0" quotePrefix="0" xfId="0">
      <alignment wrapText="1"/>
    </xf>
    <xf numFmtId="0" fontId="7" fillId="0" borderId="0" pivotButton="0" quotePrefix="0" xfId="0"/>
    <xf numFmtId="165" fontId="0" fillId="3" borderId="1" pivotButton="0" quotePrefix="0" xfId="0"/>
    <xf numFmtId="165" fontId="0" fillId="0" borderId="0" pivotButton="0" quotePrefix="0" xfId="0"/>
    <xf numFmtId="0" fontId="5" fillId="0" borderId="0" pivotButton="0" quotePrefix="0" xfId="0"/>
    <xf numFmtId="9" fontId="0" fillId="0" borderId="0" pivotButton="0" quotePrefix="0" xfId="0"/>
    <xf numFmtId="0" fontId="0" fillId="3" borderId="1" pivotButton="0" quotePrefix="0" xfId="0"/>
    <xf numFmtId="0" fontId="6" fillId="0" borderId="0" pivotButton="0" quotePrefix="0" xfId="0"/>
    <xf numFmtId="0" fontId="8" fillId="2" borderId="0" applyAlignment="1" pivotButton="0" quotePrefix="0" xfId="0">
      <alignment vertical="center" wrapText="1"/>
    </xf>
    <xf numFmtId="0" fontId="0" fillId="3" borderId="0" pivotButton="0" quotePrefix="0" xfId="0"/>
    <xf numFmtId="166" fontId="0" fillId="3" borderId="0" pivotButton="0" quotePrefix="0" xfId="0"/>
    <xf numFmtId="166" fontId="0" fillId="0" borderId="0" pivotButton="0" quotePrefix="0" xfId="0"/>
    <xf numFmtId="0" fontId="0" fillId="4" borderId="0" pivotButton="0" quotePrefix="0" xfId="0"/>
    <xf numFmtId="0" fontId="9" fillId="0" borderId="0" pivotButton="0" quotePrefix="0" xfId="0"/>
    <xf numFmtId="0" fontId="10" fillId="0" borderId="0" pivotButton="0" quotePrefix="0" xfId="0"/>
    <xf numFmtId="167" fontId="0" fillId="0" borderId="0" pivotButton="0" quotePrefix="0" xfId="0"/>
    <xf numFmtId="0" fontId="8" fillId="0" borderId="0" applyAlignment="1" pivotButton="0" quotePrefix="0" xfId="0">
      <alignment vertical="center" wrapText="1"/>
    </xf>
    <xf numFmtId="0" fontId="0" fillId="0" borderId="0" applyAlignment="1" pivotButton="0" quotePrefix="0" xfId="0">
      <alignment wrapText="1"/>
    </xf>
  </cellXfs>
  <cellStyles count="1">
    <cellStyle name="Normal" xfId="0" builtinId="0" hidden="0"/>
  </cellStyles>
  <dxfs count="2">
    <dxf>
      <font>
        <b val="1"/>
        <color rgb="0023804F"/>
      </font>
    </dxf>
    <dxf>
      <font>
        <b val="1"/>
        <color rgb="00C0392B"/>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showGridLines="0" workbookViewId="0">
      <selection activeCell="A1" sqref="A1"/>
    </sheetView>
  </sheetViews>
  <sheetFormatPr baseColWidth="8" defaultRowHeight="15"/>
  <cols>
    <col width="100" customWidth="1" min="1" max="1"/>
  </cols>
  <sheetData>
    <row r="1">
      <c r="A1" s="1" t="inlineStr">
        <is>
          <t>GATE 2027 · CS · Final-120-Days Tracker</t>
        </is>
      </c>
      <c r="B1" s="2" t="n"/>
      <c r="C1" s="2" t="n"/>
      <c r="D1" s="2" t="n"/>
      <c r="E1" s="2" t="n"/>
      <c r="F1" s="2" t="n"/>
    </row>
    <row r="2">
      <c r="A2" s="3" t="inlineStr">
        <is>
          <t>Kalpa Labs · Kit v1.0 · personal licence</t>
        </is>
      </c>
      <c r="B2" s="2" t="n"/>
      <c r="C2" s="2" t="n"/>
      <c r="D2" s="2" t="n"/>
      <c r="E2" s="2" t="n"/>
      <c r="F2" s="2" t="n"/>
    </row>
    <row r="4">
      <c r="A4" s="4" t="inlineStr">
        <is>
          <t>How to use</t>
        </is>
      </c>
    </row>
    <row r="5">
      <c r="A5" s="5" t="inlineStr">
        <is>
          <t>1. Plan tab: pick your exam date (it will be on your admit card). The countdown and plan update every day.</t>
        </is>
      </c>
    </row>
    <row r="6">
      <c r="A6" s="5" t="inlineStr">
        <is>
          <t>2. Syllabus tab: mark each topic Not started / Learning / Done. When you mark Done, type the date: revision dates appear (1, 3, 7, 21 days).</t>
        </is>
      </c>
    </row>
    <row r="7">
      <c r="A7" s="5" t="inlineStr">
        <is>
          <t>3. Daily log tab: type the hours you studied each day. Your streak counts itself.</t>
        </is>
      </c>
    </row>
    <row r="8">
      <c r="A8" s="5" t="inlineStr">
        <is>
          <t>4. Week tab: your hours this week and what's due for revision.</t>
        </is>
      </c>
    </row>
    <row r="9">
      <c r="A9" s="5" t="inlineStr"/>
    </row>
    <row r="10">
      <c r="A10" s="5" t="inlineStr">
        <is>
          <t>Not an official GATE product. Dates and syllabus: gate2027.iitm.ac.in. Yellow cells are yours; don't type over white ones.</t>
        </is>
      </c>
    </row>
    <row r="11">
      <c r="A11" s="5" t="inlineStr">
        <is>
          <t>Kalpa Labs · Udyam UDYAM-TS-02-0382711 · aakhiil51458@gmail.com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RowHeight="15"/>
  <cols>
    <col width="40" customWidth="1" min="1" max="1"/>
    <col width="22" customWidth="1" min="2" max="2"/>
  </cols>
  <sheetData>
    <row r="1">
      <c r="A1" s="1" t="inlineStr">
        <is>
          <t>Countdown and plan</t>
        </is>
      </c>
      <c r="B1" s="2" t="n"/>
      <c r="C1" s="2" t="n"/>
      <c r="D1" s="2" t="n"/>
    </row>
    <row r="2">
      <c r="A2" s="3" t="inlineStr">
        <is>
          <t>Exam days: 6, 7, 13, 14, 20, 21 Feb 2027 (IIT Madras)</t>
        </is>
      </c>
      <c r="B2" s="2" t="n"/>
      <c r="C2" s="2" t="n"/>
      <c r="D2" s="2" t="n"/>
    </row>
    <row r="4">
      <c r="A4" s="6" t="inlineStr">
        <is>
          <t>My exam date</t>
        </is>
      </c>
      <c r="B4" s="7" t="n">
        <v>46424</v>
      </c>
    </row>
    <row r="5">
      <c r="A5" s="6" t="inlineStr">
        <is>
          <t>Today</t>
        </is>
      </c>
      <c r="B5" s="8">
        <f>TODAY()</f>
        <v/>
      </c>
    </row>
    <row r="6">
      <c r="A6" s="6" t="inlineStr">
        <is>
          <t>Days left</t>
        </is>
      </c>
      <c r="B6" s="9">
        <f>MAX(0,B4-B5)</f>
        <v/>
      </c>
    </row>
    <row r="7">
      <c r="A7" s="6" t="inlineStr">
        <is>
          <t>Topics done</t>
        </is>
      </c>
      <c r="B7">
        <f>COUNTIF(Syllabus!C:C,"Done")&amp;" of "&amp;COUNTA(Syllabus!B5:B200)</f>
        <v/>
      </c>
    </row>
    <row r="8">
      <c r="A8" s="6" t="inlineStr">
        <is>
          <t>Syllabus done</t>
        </is>
      </c>
      <c r="B8" s="10">
        <f>IF(COUNTA(Syllabus!B5:B200)=0,0,COUNTIF(Syllabus!C:C,"Done")/COUNTA(Syllabus!B5:B200))</f>
        <v/>
      </c>
    </row>
    <row r="9">
      <c r="A9" s="6" t="inlineStr">
        <is>
          <t>Hours I can study a day</t>
        </is>
      </c>
      <c r="B9" s="11" t="n">
        <v>5</v>
      </c>
    </row>
    <row r="10">
      <c r="A10" s="6" t="inlineStr">
        <is>
          <t>Topics left ÷ days left (topics a day)</t>
        </is>
      </c>
      <c r="B10">
        <f>IF(B6=0,0,ROUND((COUNTA(Syllabus!B5:B200)-COUNTIF(Syllabus!C:C,"Done"))/B6,2))</f>
        <v/>
      </c>
    </row>
    <row r="11">
      <c r="A11" s="6" t="inlineStr">
        <is>
          <t>Current streak (days)</t>
        </is>
      </c>
      <c r="B11" s="12">
        <f>'Daily log'!F3</f>
        <v/>
      </c>
    </row>
    <row r="12">
      <c r="A12" s="6" t="inlineStr">
        <is>
          <t>Revisions due today or overdue</t>
        </is>
      </c>
      <c r="B12">
        <f>COUNTIFS(Syllabus!F5:F200,"&lt;="&amp;TODAY(),Syllabus!C5:C200,"Done")</f>
        <v/>
      </c>
    </row>
  </sheetData>
  <dataValidations count="1">
    <dataValidation sqref="B4" showDropDown="0" showInputMessage="0" showErrorMessage="1" allowBlank="0" errorTitle="GATE 2027 dates" error="GATE 2027 is on 6, 7, 13, 14, 20 or 21 Feb 2027" type="date" operator="between">
      <formula1>DATE(2027,2,6)</formula1>
      <formula2>DATE(2027,2,21)</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8" customWidth="1" min="1" max="1"/>
    <col width="58" customWidth="1" min="2" max="2"/>
    <col width="14" customWidth="1" min="3" max="3"/>
    <col width="13" customWidth="1" min="4" max="4"/>
    <col width="11" customWidth="1" min="5" max="5"/>
    <col width="14" customWidth="1" min="6" max="6"/>
    <col width="9" customWidth="1" min="7" max="7"/>
  </cols>
  <sheetData>
    <row r="1">
      <c r="A1" s="1" t="inlineStr">
        <is>
          <t>Syllabus checklist · GATE 2027 CS</t>
        </is>
      </c>
      <c r="B1" s="2" t="n"/>
      <c r="C1" s="2" t="n"/>
      <c r="D1" s="2" t="n"/>
      <c r="E1" s="2" t="n"/>
      <c r="F1" s="2" t="n"/>
      <c r="G1" s="2" t="n"/>
    </row>
    <row r="2">
      <c r="A2" s="3" t="inlineStr">
        <is>
          <t>Revised syllabus applied (2027 changes marked) · check gate2027.iitm.ac.in</t>
        </is>
      </c>
      <c r="B2" s="2" t="n"/>
      <c r="C2" s="2" t="n"/>
      <c r="D2" s="2" t="n"/>
      <c r="E2" s="2" t="n"/>
      <c r="F2" s="2" t="n"/>
      <c r="G2" s="2" t="n"/>
    </row>
    <row r="4">
      <c r="A4" s="13" t="inlineStr">
        <is>
          <t>Subject</t>
        </is>
      </c>
      <c r="B4" s="13" t="inlineStr">
        <is>
          <t>Topic</t>
        </is>
      </c>
      <c r="C4" s="13" t="inlineStr">
        <is>
          <t>Status</t>
        </is>
      </c>
      <c r="D4" s="13" t="inlineStr">
        <is>
          <t>Done on</t>
        </is>
      </c>
      <c r="E4" s="13" t="inlineStr">
        <is>
          <t>Revisions done</t>
        </is>
      </c>
      <c r="F4" s="13" t="inlineStr">
        <is>
          <t>Next revision</t>
        </is>
      </c>
      <c r="G4" s="13" t="inlineStr">
        <is>
          <t>Due?</t>
        </is>
      </c>
    </row>
    <row r="5">
      <c r="A5" t="inlineStr">
        <is>
          <t>Engineering Mathematics</t>
        </is>
      </c>
      <c r="B5" t="inlineStr">
        <is>
          <t>Discrete Mathematics: propositional and first-order logic</t>
        </is>
      </c>
      <c r="C5" s="14" t="inlineStr">
        <is>
          <t>Not started</t>
        </is>
      </c>
      <c r="D5" s="15" t="n"/>
      <c r="E5" s="14" t="n">
        <v>0</v>
      </c>
      <c r="F5" s="16">
        <f>IF(AND(C5="Done",ISNUMBER(D5),E5&lt;4),D5+CHOOSE(E5+1,1,3,7,21),"")</f>
        <v/>
      </c>
      <c r="G5">
        <f>IF(F5="","",IF(F5&lt;=TODAY(),"Revise","Later"))</f>
        <v/>
      </c>
    </row>
    <row r="6">
      <c r="A6" s="17" t="inlineStr">
        <is>
          <t>Engineering Mathematics</t>
        </is>
      </c>
      <c r="B6" s="17" t="inlineStr">
        <is>
          <t>Sets, relations, functions, partial orders, lattices</t>
        </is>
      </c>
      <c r="C6" s="14" t="inlineStr">
        <is>
          <t>Not started</t>
        </is>
      </c>
      <c r="D6" s="15" t="n"/>
      <c r="E6" s="14" t="n">
        <v>0</v>
      </c>
      <c r="F6" s="16">
        <f>IF(AND(C6="Done",ISNUMBER(D6),E6&lt;4),D6+CHOOSE(E6+1,1,3,7,21),"")</f>
        <v/>
      </c>
      <c r="G6">
        <f>IF(F6="","",IF(F6&lt;=TODAY(),"Revise","Later"))</f>
        <v/>
      </c>
    </row>
    <row r="7">
      <c r="A7" t="inlineStr">
        <is>
          <t>Engineering Mathematics</t>
        </is>
      </c>
      <c r="B7" t="inlineStr">
        <is>
          <t>Monoids, groups</t>
        </is>
      </c>
      <c r="C7" s="14" t="inlineStr">
        <is>
          <t>Not started</t>
        </is>
      </c>
      <c r="D7" s="15" t="n"/>
      <c r="E7" s="14" t="n">
        <v>0</v>
      </c>
      <c r="F7" s="16">
        <f>IF(AND(C7="Done",ISNUMBER(D7),E7&lt;4),D7+CHOOSE(E7+1,1,3,7,21),"")</f>
        <v/>
      </c>
      <c r="G7">
        <f>IF(F7="","",IF(F7&lt;=TODAY(),"Revise","Later"))</f>
        <v/>
      </c>
    </row>
    <row r="8">
      <c r="A8" s="17" t="inlineStr">
        <is>
          <t>Engineering Mathematics</t>
        </is>
      </c>
      <c r="B8" s="17" t="inlineStr">
        <is>
          <t>Graphs: connectivity, matching, colouring</t>
        </is>
      </c>
      <c r="C8" s="14" t="inlineStr">
        <is>
          <t>Not started</t>
        </is>
      </c>
      <c r="D8" s="15" t="n"/>
      <c r="E8" s="14" t="n">
        <v>0</v>
      </c>
      <c r="F8" s="16">
        <f>IF(AND(C8="Done",ISNUMBER(D8),E8&lt;4),D8+CHOOSE(E8+1,1,3,7,21),"")</f>
        <v/>
      </c>
      <c r="G8">
        <f>IF(F8="","",IF(F8&lt;=TODAY(),"Revise","Later"))</f>
        <v/>
      </c>
    </row>
    <row r="9">
      <c r="A9" t="inlineStr">
        <is>
          <t>Engineering Mathematics</t>
        </is>
      </c>
      <c r="B9" t="inlineStr">
        <is>
          <t>Combinatorics: counting, recurrences, generating functions</t>
        </is>
      </c>
      <c r="C9" s="14" t="inlineStr">
        <is>
          <t>Not started</t>
        </is>
      </c>
      <c r="D9" s="15" t="n"/>
      <c r="E9" s="14" t="n">
        <v>0</v>
      </c>
      <c r="F9" s="16">
        <f>IF(AND(C9="Done",ISNUMBER(D9),E9&lt;4),D9+CHOOSE(E9+1,1,3,7,21),"")</f>
        <v/>
      </c>
      <c r="G9">
        <f>IF(F9="","",IF(F9&lt;=TODAY(),"Revise","Later"))</f>
        <v/>
      </c>
    </row>
    <row r="10">
      <c r="A10" s="17" t="inlineStr">
        <is>
          <t>Engineering Mathematics</t>
        </is>
      </c>
      <c r="B10" s="17" t="inlineStr">
        <is>
          <t>Linear Algebra: matrices, determinants, systems of linear equations</t>
        </is>
      </c>
      <c r="C10" s="14" t="inlineStr">
        <is>
          <t>Not started</t>
        </is>
      </c>
      <c r="D10" s="15" t="n"/>
      <c r="E10" s="14" t="n">
        <v>0</v>
      </c>
      <c r="F10" s="16">
        <f>IF(AND(C10="Done",ISNUMBER(D10),E10&lt;4),D10+CHOOSE(E10+1,1,3,7,21),"")</f>
        <v/>
      </c>
      <c r="G10">
        <f>IF(F10="","",IF(F10&lt;=TODAY(),"Revise","Later"))</f>
        <v/>
      </c>
    </row>
    <row r="11">
      <c r="A11" t="inlineStr">
        <is>
          <t>Engineering Mathematics</t>
        </is>
      </c>
      <c r="B11" t="inlineStr">
        <is>
          <t>Eigenvalues and eigenvectors, LU decomposition</t>
        </is>
      </c>
      <c r="C11" s="14" t="inlineStr">
        <is>
          <t>Not started</t>
        </is>
      </c>
      <c r="D11" s="15" t="n"/>
      <c r="E11" s="14" t="n">
        <v>0</v>
      </c>
      <c r="F11" s="16">
        <f>IF(AND(C11="Done",ISNUMBER(D11),E11&lt;4),D11+CHOOSE(E11+1,1,3,7,21),"")</f>
        <v/>
      </c>
      <c r="G11">
        <f>IF(F11="","",IF(F11&lt;=TODAY(),"Revise","Later"))</f>
        <v/>
      </c>
    </row>
    <row r="12">
      <c r="A12" s="17" t="inlineStr">
        <is>
          <t>Engineering Mathematics</t>
        </is>
      </c>
      <c r="B12" s="17" t="inlineStr">
        <is>
          <t>Calculus: limits, continuity, differentiability, maxima and minima, mean value theorem, integration</t>
        </is>
      </c>
      <c r="C12" s="14" t="inlineStr">
        <is>
          <t>Not started</t>
        </is>
      </c>
      <c r="D12" s="15" t="n"/>
      <c r="E12" s="14" t="n">
        <v>0</v>
      </c>
      <c r="F12" s="16">
        <f>IF(AND(C12="Done",ISNUMBER(D12),E12&lt;4),D12+CHOOSE(E12+1,1,3,7,21),"")</f>
        <v/>
      </c>
      <c r="G12">
        <f>IF(F12="","",IF(F12&lt;=TODAY(),"Revise","Later"))</f>
        <v/>
      </c>
    </row>
    <row r="13">
      <c r="A13" t="inlineStr">
        <is>
          <t>Engineering Mathematics</t>
        </is>
      </c>
      <c r="B13" t="inlineStr">
        <is>
          <t>Probability: random variables, uniform, normal, exponential, Poisson, binomial</t>
        </is>
      </c>
      <c r="C13" s="14" t="inlineStr">
        <is>
          <t>Not started</t>
        </is>
      </c>
      <c r="D13" s="15" t="n"/>
      <c r="E13" s="14" t="n">
        <v>0</v>
      </c>
      <c r="F13" s="16">
        <f>IF(AND(C13="Done",ISNUMBER(D13),E13&lt;4),D13+CHOOSE(E13+1,1,3,7,21),"")</f>
        <v/>
      </c>
      <c r="G13">
        <f>IF(F13="","",IF(F13&lt;=TODAY(),"Revise","Later"))</f>
        <v/>
      </c>
    </row>
    <row r="14">
      <c r="A14" s="17" t="inlineStr">
        <is>
          <t>Engineering Mathematics</t>
        </is>
      </c>
      <c r="B14" s="17" t="inlineStr">
        <is>
          <t>Mean, median, mode, standard deviation; conditional probability, Bayes</t>
        </is>
      </c>
      <c r="C14" s="14" t="inlineStr">
        <is>
          <t>Not started</t>
        </is>
      </c>
      <c r="D14" s="15" t="n"/>
      <c r="E14" s="14" t="n">
        <v>0</v>
      </c>
      <c r="F14" s="16">
        <f>IF(AND(C14="Done",ISNUMBER(D14),E14&lt;4),D14+CHOOSE(E14+1,1,3,7,21),"")</f>
        <v/>
      </c>
      <c r="G14">
        <f>IF(F14="","",IF(F14&lt;=TODAY(),"Revise","Later"))</f>
        <v/>
      </c>
    </row>
    <row r="15">
      <c r="A15" t="inlineStr">
        <is>
          <t>Digital Logic</t>
        </is>
      </c>
      <c r="B15" t="inlineStr">
        <is>
          <t>Boolean algebra</t>
        </is>
      </c>
      <c r="C15" s="14" t="inlineStr">
        <is>
          <t>Not started</t>
        </is>
      </c>
      <c r="D15" s="15" t="n"/>
      <c r="E15" s="14" t="n">
        <v>0</v>
      </c>
      <c r="F15" s="16">
        <f>IF(AND(C15="Done",ISNUMBER(D15),E15&lt;4),D15+CHOOSE(E15+1,1,3,7,21),"")</f>
        <v/>
      </c>
      <c r="G15">
        <f>IF(F15="","",IF(F15&lt;=TODAY(),"Revise","Later"))</f>
        <v/>
      </c>
    </row>
    <row r="16">
      <c r="A16" s="17" t="inlineStr">
        <is>
          <t>Digital Logic</t>
        </is>
      </c>
      <c r="B16" s="17" t="inlineStr">
        <is>
          <t>Combinational circuits</t>
        </is>
      </c>
      <c r="C16" s="14" t="inlineStr">
        <is>
          <t>Not started</t>
        </is>
      </c>
      <c r="D16" s="15" t="n"/>
      <c r="E16" s="14" t="n">
        <v>0</v>
      </c>
      <c r="F16" s="16">
        <f>IF(AND(C16="Done",ISNUMBER(D16),E16&lt;4),D16+CHOOSE(E16+1,1,3,7,21),"")</f>
        <v/>
      </c>
      <c r="G16">
        <f>IF(F16="","",IF(F16&lt;=TODAY(),"Revise","Later"))</f>
        <v/>
      </c>
    </row>
    <row r="17">
      <c r="A17" t="inlineStr">
        <is>
          <t>Digital Logic</t>
        </is>
      </c>
      <c r="B17" t="inlineStr">
        <is>
          <t>Sequential circuits</t>
        </is>
      </c>
      <c r="C17" s="14" t="inlineStr">
        <is>
          <t>Not started</t>
        </is>
      </c>
      <c r="D17" s="15" t="n"/>
      <c r="E17" s="14" t="n">
        <v>0</v>
      </c>
      <c r="F17" s="16">
        <f>IF(AND(C17="Done",ISNUMBER(D17),E17&lt;4),D17+CHOOSE(E17+1,1,3,7,21),"")</f>
        <v/>
      </c>
      <c r="G17">
        <f>IF(F17="","",IF(F17&lt;=TODAY(),"Revise","Later"))</f>
        <v/>
      </c>
    </row>
    <row r="18">
      <c r="A18" s="17" t="inlineStr">
        <is>
          <t>Digital Logic</t>
        </is>
      </c>
      <c r="B18" s="17" t="inlineStr">
        <is>
          <t>Minimisation</t>
        </is>
      </c>
      <c r="C18" s="14" t="inlineStr">
        <is>
          <t>Not started</t>
        </is>
      </c>
      <c r="D18" s="15" t="n"/>
      <c r="E18" s="14" t="n">
        <v>0</v>
      </c>
      <c r="F18" s="16">
        <f>IF(AND(C18="Done",ISNUMBER(D18),E18&lt;4),D18+CHOOSE(E18+1,1,3,7,21),"")</f>
        <v/>
      </c>
      <c r="G18">
        <f>IF(F18="","",IF(F18&lt;=TODAY(),"Revise","Later"))</f>
        <v/>
      </c>
    </row>
    <row r="19">
      <c r="A19" t="inlineStr">
        <is>
          <t>Digital Logic</t>
        </is>
      </c>
      <c r="B19" t="inlineStr">
        <is>
          <t>Number representations and computer arithmetic (fixed and floating point)</t>
        </is>
      </c>
      <c r="C19" s="14" t="inlineStr">
        <is>
          <t>Not started</t>
        </is>
      </c>
      <c r="D19" s="15" t="n"/>
      <c r="E19" s="14" t="n">
        <v>0</v>
      </c>
      <c r="F19" s="16">
        <f>IF(AND(C19="Done",ISNUMBER(D19),E19&lt;4),D19+CHOOSE(E19+1,1,3,7,21),"")</f>
        <v/>
      </c>
      <c r="G19">
        <f>IF(F19="","",IF(F19&lt;=TODAY(),"Revise","Later"))</f>
        <v/>
      </c>
    </row>
    <row r="20">
      <c r="A20" s="17" t="inlineStr">
        <is>
          <t>Computer Organization and Architecture</t>
        </is>
      </c>
      <c r="B20" s="17" t="inlineStr">
        <is>
          <t>Machine instructions and addressing modes</t>
        </is>
      </c>
      <c r="C20" s="14" t="inlineStr">
        <is>
          <t>Not started</t>
        </is>
      </c>
      <c r="D20" s="15" t="n"/>
      <c r="E20" s="14" t="n">
        <v>0</v>
      </c>
      <c r="F20" s="16">
        <f>IF(AND(C20="Done",ISNUMBER(D20),E20&lt;4),D20+CHOOSE(E20+1,1,3,7,21),"")</f>
        <v/>
      </c>
      <c r="G20">
        <f>IF(F20="","",IF(F20&lt;=TODAY(),"Revise","Later"))</f>
        <v/>
      </c>
    </row>
    <row r="21">
      <c r="A21" t="inlineStr">
        <is>
          <t>Computer Organization and Architecture</t>
        </is>
      </c>
      <c r="B21" t="inlineStr">
        <is>
          <t>ALU, data-path and control unit</t>
        </is>
      </c>
      <c r="C21" s="14" t="inlineStr">
        <is>
          <t>Not started</t>
        </is>
      </c>
      <c r="D21" s="15" t="n"/>
      <c r="E21" s="14" t="n">
        <v>0</v>
      </c>
      <c r="F21" s="16">
        <f>IF(AND(C21="Done",ISNUMBER(D21),E21&lt;4),D21+CHOOSE(E21+1,1,3,7,21),"")</f>
        <v/>
      </c>
      <c r="G21">
        <f>IF(F21="","",IF(F21&lt;=TODAY(),"Revise","Later"))</f>
        <v/>
      </c>
    </row>
    <row r="22">
      <c r="A22" s="17" t="inlineStr">
        <is>
          <t>Computer Organization and Architecture</t>
        </is>
      </c>
      <c r="B22" s="17" t="inlineStr">
        <is>
          <t>Hardwired control design (2027)</t>
        </is>
      </c>
      <c r="C22" s="14" t="inlineStr">
        <is>
          <t>Not started</t>
        </is>
      </c>
      <c r="D22" s="15" t="n"/>
      <c r="E22" s="14" t="n">
        <v>0</v>
      </c>
      <c r="F22" s="16">
        <f>IF(AND(C22="Done",ISNUMBER(D22),E22&lt;4),D22+CHOOSE(E22+1,1,3,7,21),"")</f>
        <v/>
      </c>
      <c r="G22">
        <f>IF(F22="","",IF(F22&lt;=TODAY(),"Revise","Later"))</f>
        <v/>
      </c>
    </row>
    <row r="23">
      <c r="A23" t="inlineStr">
        <is>
          <t>Computer Organization and Architecture</t>
        </is>
      </c>
      <c r="B23" t="inlineStr">
        <is>
          <t>Microprogrammed control design (2027)</t>
        </is>
      </c>
      <c r="C23" s="14" t="inlineStr">
        <is>
          <t>Not started</t>
        </is>
      </c>
      <c r="D23" s="15" t="n"/>
      <c r="E23" s="14" t="n">
        <v>0</v>
      </c>
      <c r="F23" s="16">
        <f>IF(AND(C23="Done",ISNUMBER(D23),E23&lt;4),D23+CHOOSE(E23+1,1,3,7,21),"")</f>
        <v/>
      </c>
      <c r="G23">
        <f>IF(F23="","",IF(F23&lt;=TODAY(),"Revise","Later"))</f>
        <v/>
      </c>
    </row>
    <row r="24">
      <c r="A24" s="17" t="inlineStr">
        <is>
          <t>Computer Organization and Architecture</t>
        </is>
      </c>
      <c r="B24" s="17" t="inlineStr">
        <is>
          <t>Instruction pipelining, pipeline hazards</t>
        </is>
      </c>
      <c r="C24" s="14" t="inlineStr">
        <is>
          <t>Not started</t>
        </is>
      </c>
      <c r="D24" s="15" t="n"/>
      <c r="E24" s="14" t="n">
        <v>0</v>
      </c>
      <c r="F24" s="16">
        <f>IF(AND(C24="Done",ISNUMBER(D24),E24&lt;4),D24+CHOOSE(E24+1,1,3,7,21),"")</f>
        <v/>
      </c>
      <c r="G24">
        <f>IF(F24="","",IF(F24&lt;=TODAY(),"Revise","Later"))</f>
        <v/>
      </c>
    </row>
    <row r="25">
      <c r="A25" t="inlineStr">
        <is>
          <t>Computer Organization and Architecture</t>
        </is>
      </c>
      <c r="B25" t="inlineStr">
        <is>
          <t>Memory hierarchy: cache memory</t>
        </is>
      </c>
      <c r="C25" s="14" t="inlineStr">
        <is>
          <t>Not started</t>
        </is>
      </c>
      <c r="D25" s="15" t="n"/>
      <c r="E25" s="14" t="n">
        <v>0</v>
      </c>
      <c r="F25" s="16">
        <f>IF(AND(C25="Done",ISNUMBER(D25),E25&lt;4),D25+CHOOSE(E25+1,1,3,7,21),"")</f>
        <v/>
      </c>
      <c r="G25">
        <f>IF(F25="","",IF(F25&lt;=TODAY(),"Revise","Later"))</f>
        <v/>
      </c>
    </row>
    <row r="26">
      <c r="A26" s="17" t="inlineStr">
        <is>
          <t>Computer Organization and Architecture</t>
        </is>
      </c>
      <c r="B26" s="17" t="inlineStr">
        <is>
          <t>Cache memory mapping (2027)</t>
        </is>
      </c>
      <c r="C26" s="14" t="inlineStr">
        <is>
          <t>Not started</t>
        </is>
      </c>
      <c r="D26" s="15" t="n"/>
      <c r="E26" s="14" t="n">
        <v>0</v>
      </c>
      <c r="F26" s="16">
        <f>IF(AND(C26="Done",ISNUMBER(D26),E26&lt;4),D26+CHOOSE(E26+1,1,3,7,21),"")</f>
        <v/>
      </c>
      <c r="G26">
        <f>IF(F26="","",IF(F26&lt;=TODAY(),"Revise","Later"))</f>
        <v/>
      </c>
    </row>
    <row r="27">
      <c r="A27" t="inlineStr">
        <is>
          <t>Computer Organization and Architecture</t>
        </is>
      </c>
      <c r="B27" t="inlineStr">
        <is>
          <t>I/O interface (interrupt and DMA mode)</t>
        </is>
      </c>
      <c r="C27" s="14" t="inlineStr">
        <is>
          <t>Not started</t>
        </is>
      </c>
      <c r="D27" s="15" t="n"/>
      <c r="E27" s="14" t="n">
        <v>0</v>
      </c>
      <c r="F27" s="16">
        <f>IF(AND(C27="Done",ISNUMBER(D27),E27&lt;4),D27+CHOOSE(E27+1,1,3,7,21),"")</f>
        <v/>
      </c>
      <c r="G27">
        <f>IF(F27="","",IF(F27&lt;=TODAY(),"Revise","Later"))</f>
        <v/>
      </c>
    </row>
    <row r="28">
      <c r="A28" s="17" t="inlineStr">
        <is>
          <t>Programming and Data Structures</t>
        </is>
      </c>
      <c r="B28" s="17" t="inlineStr">
        <is>
          <t>Programming in C</t>
        </is>
      </c>
      <c r="C28" s="14" t="inlineStr">
        <is>
          <t>Not started</t>
        </is>
      </c>
      <c r="D28" s="15" t="n"/>
      <c r="E28" s="14" t="n">
        <v>0</v>
      </c>
      <c r="F28" s="16">
        <f>IF(AND(C28="Done",ISNUMBER(D28),E28&lt;4),D28+CHOOSE(E28+1,1,3,7,21),"")</f>
        <v/>
      </c>
      <c r="G28">
        <f>IF(F28="","",IF(F28&lt;=TODAY(),"Revise","Later"))</f>
        <v/>
      </c>
    </row>
    <row r="29">
      <c r="A29" t="inlineStr">
        <is>
          <t>Programming and Data Structures</t>
        </is>
      </c>
      <c r="B29" t="inlineStr">
        <is>
          <t>Recursion</t>
        </is>
      </c>
      <c r="C29" s="14" t="inlineStr">
        <is>
          <t>Not started</t>
        </is>
      </c>
      <c r="D29" s="15" t="n"/>
      <c r="E29" s="14" t="n">
        <v>0</v>
      </c>
      <c r="F29" s="16">
        <f>IF(AND(C29="Done",ISNUMBER(D29),E29&lt;4),D29+CHOOSE(E29+1,1,3,7,21),"")</f>
        <v/>
      </c>
      <c r="G29">
        <f>IF(F29="","",IF(F29&lt;=TODAY(),"Revise","Later"))</f>
        <v/>
      </c>
    </row>
    <row r="30">
      <c r="A30" s="17" t="inlineStr">
        <is>
          <t>Programming and Data Structures</t>
        </is>
      </c>
      <c r="B30" s="17" t="inlineStr">
        <is>
          <t>Arrays, stacks, queues</t>
        </is>
      </c>
      <c r="C30" s="14" t="inlineStr">
        <is>
          <t>Not started</t>
        </is>
      </c>
      <c r="D30" s="15" t="n"/>
      <c r="E30" s="14" t="n">
        <v>0</v>
      </c>
      <c r="F30" s="16">
        <f>IF(AND(C30="Done",ISNUMBER(D30),E30&lt;4),D30+CHOOSE(E30+1,1,3,7,21),"")</f>
        <v/>
      </c>
      <c r="G30">
        <f>IF(F30="","",IF(F30&lt;=TODAY(),"Revise","Later"))</f>
        <v/>
      </c>
    </row>
    <row r="31">
      <c r="A31" t="inlineStr">
        <is>
          <t>Programming and Data Structures</t>
        </is>
      </c>
      <c r="B31" t="inlineStr">
        <is>
          <t>Linked lists</t>
        </is>
      </c>
      <c r="C31" s="14" t="inlineStr">
        <is>
          <t>Not started</t>
        </is>
      </c>
      <c r="D31" s="15" t="n"/>
      <c r="E31" s="14" t="n">
        <v>0</v>
      </c>
      <c r="F31" s="16">
        <f>IF(AND(C31="Done",ISNUMBER(D31),E31&lt;4),D31+CHOOSE(E31+1,1,3,7,21),"")</f>
        <v/>
      </c>
      <c r="G31">
        <f>IF(F31="","",IF(F31&lt;=TODAY(),"Revise","Later"))</f>
        <v/>
      </c>
    </row>
    <row r="32">
      <c r="A32" s="17" t="inlineStr">
        <is>
          <t>Programming and Data Structures</t>
        </is>
      </c>
      <c r="B32" s="17" t="inlineStr">
        <is>
          <t>Trees, binary search trees, binary heaps</t>
        </is>
      </c>
      <c r="C32" s="14" t="inlineStr">
        <is>
          <t>Not started</t>
        </is>
      </c>
      <c r="D32" s="15" t="n"/>
      <c r="E32" s="14" t="n">
        <v>0</v>
      </c>
      <c r="F32" s="16">
        <f>IF(AND(C32="Done",ISNUMBER(D32),E32&lt;4),D32+CHOOSE(E32+1,1,3,7,21),"")</f>
        <v/>
      </c>
      <c r="G32">
        <f>IF(F32="","",IF(F32&lt;=TODAY(),"Revise","Later"))</f>
        <v/>
      </c>
    </row>
    <row r="33">
      <c r="A33" t="inlineStr">
        <is>
          <t>Programming and Data Structures</t>
        </is>
      </c>
      <c r="B33" t="inlineStr">
        <is>
          <t>Graphs</t>
        </is>
      </c>
      <c r="C33" s="14" t="inlineStr">
        <is>
          <t>Not started</t>
        </is>
      </c>
      <c r="D33" s="15" t="n"/>
      <c r="E33" s="14" t="n">
        <v>0</v>
      </c>
      <c r="F33" s="16">
        <f>IF(AND(C33="Done",ISNUMBER(D33),E33&lt;4),D33+CHOOSE(E33+1,1,3,7,21),"")</f>
        <v/>
      </c>
      <c r="G33">
        <f>IF(F33="","",IF(F33&lt;=TODAY(),"Revise","Later"))</f>
        <v/>
      </c>
    </row>
    <row r="34">
      <c r="A34" s="17" t="inlineStr">
        <is>
          <t>Algorithms</t>
        </is>
      </c>
      <c r="B34" s="17" t="inlineStr">
        <is>
          <t>Searching, sorting, hashing</t>
        </is>
      </c>
      <c r="C34" s="14" t="inlineStr">
        <is>
          <t>Not started</t>
        </is>
      </c>
      <c r="D34" s="15" t="n"/>
      <c r="E34" s="14" t="n">
        <v>0</v>
      </c>
      <c r="F34" s="16">
        <f>IF(AND(C34="Done",ISNUMBER(D34),E34&lt;4),D34+CHOOSE(E34+1,1,3,7,21),"")</f>
        <v/>
      </c>
      <c r="G34">
        <f>IF(F34="","",IF(F34&lt;=TODAY(),"Revise","Later"))</f>
        <v/>
      </c>
    </row>
    <row r="35">
      <c r="A35" t="inlineStr">
        <is>
          <t>Algorithms</t>
        </is>
      </c>
      <c r="B35" t="inlineStr">
        <is>
          <t>Asymptotic worst-case time and space complexity</t>
        </is>
      </c>
      <c r="C35" s="14" t="inlineStr">
        <is>
          <t>Not started</t>
        </is>
      </c>
      <c r="D35" s="15" t="n"/>
      <c r="E35" s="14" t="n">
        <v>0</v>
      </c>
      <c r="F35" s="16">
        <f>IF(AND(C35="Done",ISNUMBER(D35),E35&lt;4),D35+CHOOSE(E35+1,1,3,7,21),"")</f>
        <v/>
      </c>
      <c r="G35">
        <f>IF(F35="","",IF(F35&lt;=TODAY(),"Revise","Later"))</f>
        <v/>
      </c>
    </row>
    <row r="36">
      <c r="A36" s="17" t="inlineStr">
        <is>
          <t>Algorithms</t>
        </is>
      </c>
      <c r="B36" s="17" t="inlineStr">
        <is>
          <t>Greedy</t>
        </is>
      </c>
      <c r="C36" s="14" t="inlineStr">
        <is>
          <t>Not started</t>
        </is>
      </c>
      <c r="D36" s="15" t="n"/>
      <c r="E36" s="14" t="n">
        <v>0</v>
      </c>
      <c r="F36" s="16">
        <f>IF(AND(C36="Done",ISNUMBER(D36),E36&lt;4),D36+CHOOSE(E36+1,1,3,7,21),"")</f>
        <v/>
      </c>
      <c r="G36">
        <f>IF(F36="","",IF(F36&lt;=TODAY(),"Revise","Later"))</f>
        <v/>
      </c>
    </row>
    <row r="37">
      <c r="A37" t="inlineStr">
        <is>
          <t>Algorithms</t>
        </is>
      </c>
      <c r="B37" t="inlineStr">
        <is>
          <t>Divide-and-conquer</t>
        </is>
      </c>
      <c r="C37" s="14" t="inlineStr">
        <is>
          <t>Not started</t>
        </is>
      </c>
      <c r="D37" s="15" t="n"/>
      <c r="E37" s="14" t="n">
        <v>0</v>
      </c>
      <c r="F37" s="16">
        <f>IF(AND(C37="Done",ISNUMBER(D37),E37&lt;4),D37+CHOOSE(E37+1,1,3,7,21),"")</f>
        <v/>
      </c>
      <c r="G37">
        <f>IF(F37="","",IF(F37&lt;=TODAY(),"Revise","Later"))</f>
        <v/>
      </c>
    </row>
    <row r="38">
      <c r="A38" s="17" t="inlineStr">
        <is>
          <t>Algorithms</t>
        </is>
      </c>
      <c r="B38" s="17" t="inlineStr">
        <is>
          <t>Dynamic programming</t>
        </is>
      </c>
      <c r="C38" s="14" t="inlineStr">
        <is>
          <t>Not started</t>
        </is>
      </c>
      <c r="D38" s="15" t="n"/>
      <c r="E38" s="14" t="n">
        <v>0</v>
      </c>
      <c r="F38" s="16">
        <f>IF(AND(C38="Done",ISNUMBER(D38),E38&lt;4),D38+CHOOSE(E38+1,1,3,7,21),"")</f>
        <v/>
      </c>
      <c r="G38">
        <f>IF(F38="","",IF(F38&lt;=TODAY(),"Revise","Later"))</f>
        <v/>
      </c>
    </row>
    <row r="39">
      <c r="A39" t="inlineStr">
        <is>
          <t>Algorithms</t>
        </is>
      </c>
      <c r="B39" t="inlineStr">
        <is>
          <t>Graph traversals, minimum spanning trees, shortest paths</t>
        </is>
      </c>
      <c r="C39" s="14" t="inlineStr">
        <is>
          <t>Not started</t>
        </is>
      </c>
      <c r="D39" s="15" t="n"/>
      <c r="E39" s="14" t="n">
        <v>0</v>
      </c>
      <c r="F39" s="16">
        <f>IF(AND(C39="Done",ISNUMBER(D39),E39&lt;4),D39+CHOOSE(E39+1,1,3,7,21),"")</f>
        <v/>
      </c>
      <c r="G39">
        <f>IF(F39="","",IF(F39&lt;=TODAY(),"Revise","Later"))</f>
        <v/>
      </c>
    </row>
    <row r="40">
      <c r="A40" s="17" t="inlineStr">
        <is>
          <t>Theory of Computation</t>
        </is>
      </c>
      <c r="B40" s="17" t="inlineStr">
        <is>
          <t>Regular expressions and finite automata</t>
        </is>
      </c>
      <c r="C40" s="14" t="inlineStr">
        <is>
          <t>Not started</t>
        </is>
      </c>
      <c r="D40" s="15" t="n"/>
      <c r="E40" s="14" t="n">
        <v>0</v>
      </c>
      <c r="F40" s="16">
        <f>IF(AND(C40="Done",ISNUMBER(D40),E40&lt;4),D40+CHOOSE(E40+1,1,3,7,21),"")</f>
        <v/>
      </c>
      <c r="G40">
        <f>IF(F40="","",IF(F40&lt;=TODAY(),"Revise","Later"))</f>
        <v/>
      </c>
    </row>
    <row r="41">
      <c r="A41" t="inlineStr">
        <is>
          <t>Theory of Computation</t>
        </is>
      </c>
      <c r="B41" t="inlineStr">
        <is>
          <t>Context-free grammars and push-down automata</t>
        </is>
      </c>
      <c r="C41" s="14" t="inlineStr">
        <is>
          <t>Not started</t>
        </is>
      </c>
      <c r="D41" s="15" t="n"/>
      <c r="E41" s="14" t="n">
        <v>0</v>
      </c>
      <c r="F41" s="16">
        <f>IF(AND(C41="Done",ISNUMBER(D41),E41&lt;4),D41+CHOOSE(E41+1,1,3,7,21),"")</f>
        <v/>
      </c>
      <c r="G41">
        <f>IF(F41="","",IF(F41&lt;=TODAY(),"Revise","Later"))</f>
        <v/>
      </c>
    </row>
    <row r="42">
      <c r="A42" s="17" t="inlineStr">
        <is>
          <t>Theory of Computation</t>
        </is>
      </c>
      <c r="B42" s="17" t="inlineStr">
        <is>
          <t>Regular and context-free languages, pumping lemma</t>
        </is>
      </c>
      <c r="C42" s="14" t="inlineStr">
        <is>
          <t>Not started</t>
        </is>
      </c>
      <c r="D42" s="15" t="n"/>
      <c r="E42" s="14" t="n">
        <v>0</v>
      </c>
      <c r="F42" s="16">
        <f>IF(AND(C42="Done",ISNUMBER(D42),E42&lt;4),D42+CHOOSE(E42+1,1,3,7,21),"")</f>
        <v/>
      </c>
      <c r="G42">
        <f>IF(F42="","",IF(F42&lt;=TODAY(),"Revise","Later"))</f>
        <v/>
      </c>
    </row>
    <row r="43">
      <c r="A43" t="inlineStr">
        <is>
          <t>Theory of Computation</t>
        </is>
      </c>
      <c r="B43" t="inlineStr">
        <is>
          <t>Turing machines and undecidability</t>
        </is>
      </c>
      <c r="C43" s="14" t="inlineStr">
        <is>
          <t>Not started</t>
        </is>
      </c>
      <c r="D43" s="15" t="n"/>
      <c r="E43" s="14" t="n">
        <v>0</v>
      </c>
      <c r="F43" s="16">
        <f>IF(AND(C43="Done",ISNUMBER(D43),E43&lt;4),D43+CHOOSE(E43+1,1,3,7,21),"")</f>
        <v/>
      </c>
      <c r="G43">
        <f>IF(F43="","",IF(F43&lt;=TODAY(),"Revise","Later"))</f>
        <v/>
      </c>
    </row>
    <row r="44">
      <c r="A44" s="17" t="inlineStr">
        <is>
          <t>Compiler Design</t>
        </is>
      </c>
      <c r="B44" s="17" t="inlineStr">
        <is>
          <t>Lexical analysis, parsing, syntax-directed translation</t>
        </is>
      </c>
      <c r="C44" s="14" t="inlineStr">
        <is>
          <t>Not started</t>
        </is>
      </c>
      <c r="D44" s="15" t="n"/>
      <c r="E44" s="14" t="n">
        <v>0</v>
      </c>
      <c r="F44" s="16">
        <f>IF(AND(C44="Done",ISNUMBER(D44),E44&lt;4),D44+CHOOSE(E44+1,1,3,7,21),"")</f>
        <v/>
      </c>
      <c r="G44">
        <f>IF(F44="","",IF(F44&lt;=TODAY(),"Revise","Later"))</f>
        <v/>
      </c>
    </row>
    <row r="45">
      <c r="A45" t="inlineStr">
        <is>
          <t>Compiler Design</t>
        </is>
      </c>
      <c r="B45" t="inlineStr">
        <is>
          <t>Runtime environments</t>
        </is>
      </c>
      <c r="C45" s="14" t="inlineStr">
        <is>
          <t>Not started</t>
        </is>
      </c>
      <c r="D45" s="15" t="n"/>
      <c r="E45" s="14" t="n">
        <v>0</v>
      </c>
      <c r="F45" s="16">
        <f>IF(AND(C45="Done",ISNUMBER(D45),E45&lt;4),D45+CHOOSE(E45+1,1,3,7,21),"")</f>
        <v/>
      </c>
      <c r="G45">
        <f>IF(F45="","",IF(F45&lt;=TODAY(),"Revise","Later"))</f>
        <v/>
      </c>
    </row>
    <row r="46">
      <c r="A46" s="17" t="inlineStr">
        <is>
          <t>Compiler Design</t>
        </is>
      </c>
      <c r="B46" s="17" t="inlineStr">
        <is>
          <t>Intermediate code generation</t>
        </is>
      </c>
      <c r="C46" s="14" t="inlineStr">
        <is>
          <t>Not started</t>
        </is>
      </c>
      <c r="D46" s="15" t="n"/>
      <c r="E46" s="14" t="n">
        <v>0</v>
      </c>
      <c r="F46" s="16">
        <f>IF(AND(C46="Done",ISNUMBER(D46),E46&lt;4),D46+CHOOSE(E46+1,1,3,7,21),"")</f>
        <v/>
      </c>
      <c r="G46">
        <f>IF(F46="","",IF(F46&lt;=TODAY(),"Revise","Later"))</f>
        <v/>
      </c>
    </row>
    <row r="47">
      <c r="A47" t="inlineStr">
        <is>
          <t>Compiler Design</t>
        </is>
      </c>
      <c r="B47" t="inlineStr">
        <is>
          <t>Local optimisation</t>
        </is>
      </c>
      <c r="C47" s="14" t="inlineStr">
        <is>
          <t>Not started</t>
        </is>
      </c>
      <c r="D47" s="15" t="n"/>
      <c r="E47" s="14" t="n">
        <v>0</v>
      </c>
      <c r="F47" s="16">
        <f>IF(AND(C47="Done",ISNUMBER(D47),E47&lt;4),D47+CHOOSE(E47+1,1,3,7,21),"")</f>
        <v/>
      </c>
      <c r="G47">
        <f>IF(F47="","",IF(F47&lt;=TODAY(),"Revise","Later"))</f>
        <v/>
      </c>
    </row>
    <row r="48">
      <c r="A48" s="17" t="inlineStr">
        <is>
          <t>Compiler Design</t>
        </is>
      </c>
      <c r="B48" s="17" t="inlineStr">
        <is>
          <t>Data flow analyses: constant propagation, liveness analysis, common subexpression elimination</t>
        </is>
      </c>
      <c r="C48" s="14" t="inlineStr">
        <is>
          <t>Not started</t>
        </is>
      </c>
      <c r="D48" s="15" t="n"/>
      <c r="E48" s="14" t="n">
        <v>0</v>
      </c>
      <c r="F48" s="16">
        <f>IF(AND(C48="Done",ISNUMBER(D48),E48&lt;4),D48+CHOOSE(E48+1,1,3,7,21),"")</f>
        <v/>
      </c>
      <c r="G48">
        <f>IF(F48="","",IF(F48&lt;=TODAY(),"Revise","Later"))</f>
        <v/>
      </c>
    </row>
    <row r="49">
      <c r="A49" t="inlineStr">
        <is>
          <t>Operating System</t>
        </is>
      </c>
      <c r="B49" t="inlineStr">
        <is>
          <t>System calls, processes, threads, inter-process communication</t>
        </is>
      </c>
      <c r="C49" s="14" t="inlineStr">
        <is>
          <t>Not started</t>
        </is>
      </c>
      <c r="D49" s="15" t="n"/>
      <c r="E49" s="14" t="n">
        <v>0</v>
      </c>
      <c r="F49" s="16">
        <f>IF(AND(C49="Done",ISNUMBER(D49),E49&lt;4),D49+CHOOSE(E49+1,1,3,7,21),"")</f>
        <v/>
      </c>
      <c r="G49">
        <f>IF(F49="","",IF(F49&lt;=TODAY(),"Revise","Later"))</f>
        <v/>
      </c>
    </row>
    <row r="50">
      <c r="A50" s="17" t="inlineStr">
        <is>
          <t>Operating System</t>
        </is>
      </c>
      <c r="B50" s="17" t="inlineStr">
        <is>
          <t>Concurrency and synchronisation</t>
        </is>
      </c>
      <c r="C50" s="14" t="inlineStr">
        <is>
          <t>Not started</t>
        </is>
      </c>
      <c r="D50" s="15" t="n"/>
      <c r="E50" s="14" t="n">
        <v>0</v>
      </c>
      <c r="F50" s="16">
        <f>IF(AND(C50="Done",ISNUMBER(D50),E50&lt;4),D50+CHOOSE(E50+1,1,3,7,21),"")</f>
        <v/>
      </c>
      <c r="G50">
        <f>IF(F50="","",IF(F50&lt;=TODAY(),"Revise","Later"))</f>
        <v/>
      </c>
    </row>
    <row r="51">
      <c r="A51" t="inlineStr">
        <is>
          <t>Operating System</t>
        </is>
      </c>
      <c r="B51" t="inlineStr">
        <is>
          <t>Deadlock</t>
        </is>
      </c>
      <c r="C51" s="14" t="inlineStr">
        <is>
          <t>Not started</t>
        </is>
      </c>
      <c r="D51" s="15" t="n"/>
      <c r="E51" s="14" t="n">
        <v>0</v>
      </c>
      <c r="F51" s="16">
        <f>IF(AND(C51="Done",ISNUMBER(D51),E51&lt;4),D51+CHOOSE(E51+1,1,3,7,21),"")</f>
        <v/>
      </c>
      <c r="G51">
        <f>IF(F51="","",IF(F51&lt;=TODAY(),"Revise","Later"))</f>
        <v/>
      </c>
    </row>
    <row r="52">
      <c r="A52" s="17" t="inlineStr">
        <is>
          <t>Operating System</t>
        </is>
      </c>
      <c r="B52" s="17" t="inlineStr">
        <is>
          <t>CPU and I/O scheduling</t>
        </is>
      </c>
      <c r="C52" s="14" t="inlineStr">
        <is>
          <t>Not started</t>
        </is>
      </c>
      <c r="D52" s="15" t="n"/>
      <c r="E52" s="14" t="n">
        <v>0</v>
      </c>
      <c r="F52" s="16">
        <f>IF(AND(C52="Done",ISNUMBER(D52),E52&lt;4),D52+CHOOSE(E52+1,1,3,7,21),"")</f>
        <v/>
      </c>
      <c r="G52">
        <f>IF(F52="","",IF(F52&lt;=TODAY(),"Revise","Later"))</f>
        <v/>
      </c>
    </row>
    <row r="53">
      <c r="A53" t="inlineStr">
        <is>
          <t>Operating System</t>
        </is>
      </c>
      <c r="B53" t="inlineStr">
        <is>
          <t>Memory management and virtual memory</t>
        </is>
      </c>
      <c r="C53" s="14" t="inlineStr">
        <is>
          <t>Not started</t>
        </is>
      </c>
      <c r="D53" s="15" t="n"/>
      <c r="E53" s="14" t="n">
        <v>0</v>
      </c>
      <c r="F53" s="16">
        <f>IF(AND(C53="Done",ISNUMBER(D53),E53&lt;4),D53+CHOOSE(E53+1,1,3,7,21),"")</f>
        <v/>
      </c>
      <c r="G53">
        <f>IF(F53="","",IF(F53&lt;=TODAY(),"Revise","Later"))</f>
        <v/>
      </c>
    </row>
    <row r="54">
      <c r="A54" s="17" t="inlineStr">
        <is>
          <t>Operating System</t>
        </is>
      </c>
      <c r="B54" s="17" t="inlineStr">
        <is>
          <t>File systems</t>
        </is>
      </c>
      <c r="C54" s="14" t="inlineStr">
        <is>
          <t>Not started</t>
        </is>
      </c>
      <c r="D54" s="15" t="n"/>
      <c r="E54" s="14" t="n">
        <v>0</v>
      </c>
      <c r="F54" s="16">
        <f>IF(AND(C54="Done",ISNUMBER(D54),E54&lt;4),D54+CHOOSE(E54+1,1,3,7,21),"")</f>
        <v/>
      </c>
      <c r="G54">
        <f>IF(F54="","",IF(F54&lt;=TODAY(),"Revise","Later"))</f>
        <v/>
      </c>
    </row>
    <row r="55">
      <c r="A55" t="inlineStr">
        <is>
          <t>Databases</t>
        </is>
      </c>
      <c r="B55" t="inlineStr">
        <is>
          <t>ER-model</t>
        </is>
      </c>
      <c r="C55" s="14" t="inlineStr">
        <is>
          <t>Not started</t>
        </is>
      </c>
      <c r="D55" s="15" t="n"/>
      <c r="E55" s="14" t="n">
        <v>0</v>
      </c>
      <c r="F55" s="16">
        <f>IF(AND(C55="Done",ISNUMBER(D55),E55&lt;4),D55+CHOOSE(E55+1,1,3,7,21),"")</f>
        <v/>
      </c>
      <c r="G55">
        <f>IF(F55="","",IF(F55&lt;=TODAY(),"Revise","Later"))</f>
        <v/>
      </c>
    </row>
    <row r="56">
      <c r="A56" s="17" t="inlineStr">
        <is>
          <t>Databases</t>
        </is>
      </c>
      <c r="B56" s="17" t="inlineStr">
        <is>
          <t>Relational model: relational algebra, tuple calculus, SQL</t>
        </is>
      </c>
      <c r="C56" s="14" t="inlineStr">
        <is>
          <t>Not started</t>
        </is>
      </c>
      <c r="D56" s="15" t="n"/>
      <c r="E56" s="14" t="n">
        <v>0</v>
      </c>
      <c r="F56" s="16">
        <f>IF(AND(C56="Done",ISNUMBER(D56),E56&lt;4),D56+CHOOSE(E56+1,1,3,7,21),"")</f>
        <v/>
      </c>
      <c r="G56">
        <f>IF(F56="","",IF(F56&lt;=TODAY(),"Revise","Later"))</f>
        <v/>
      </c>
    </row>
    <row r="57">
      <c r="A57" t="inlineStr">
        <is>
          <t>Databases</t>
        </is>
      </c>
      <c r="B57" t="inlineStr">
        <is>
          <t>Integrity constraints, normal forms</t>
        </is>
      </c>
      <c r="C57" s="14" t="inlineStr">
        <is>
          <t>Not started</t>
        </is>
      </c>
      <c r="D57" s="15" t="n"/>
      <c r="E57" s="14" t="n">
        <v>0</v>
      </c>
      <c r="F57" s="16">
        <f>IF(AND(C57="Done",ISNUMBER(D57),E57&lt;4),D57+CHOOSE(E57+1,1,3,7,21),"")</f>
        <v/>
      </c>
      <c r="G57">
        <f>IF(F57="","",IF(F57&lt;=TODAY(),"Revise","Later"))</f>
        <v/>
      </c>
    </row>
    <row r="58">
      <c r="A58" s="17" t="inlineStr">
        <is>
          <t>Databases</t>
        </is>
      </c>
      <c r="B58" s="17" t="inlineStr">
        <is>
          <t>File organisation, indexing (B and B+ trees)</t>
        </is>
      </c>
      <c r="C58" s="14" t="inlineStr">
        <is>
          <t>Not started</t>
        </is>
      </c>
      <c r="D58" s="15" t="n"/>
      <c r="E58" s="14" t="n">
        <v>0</v>
      </c>
      <c r="F58" s="16">
        <f>IF(AND(C58="Done",ISNUMBER(D58),E58&lt;4),D58+CHOOSE(E58+1,1,3,7,21),"")</f>
        <v/>
      </c>
      <c r="G58">
        <f>IF(F58="","",IF(F58&lt;=TODAY(),"Revise","Later"))</f>
        <v/>
      </c>
    </row>
    <row r="59">
      <c r="A59" t="inlineStr">
        <is>
          <t>Databases</t>
        </is>
      </c>
      <c r="B59" t="inlineStr">
        <is>
          <t>Transactions and concurrency control</t>
        </is>
      </c>
      <c r="C59" s="14" t="inlineStr">
        <is>
          <t>Not started</t>
        </is>
      </c>
      <c r="D59" s="15" t="n"/>
      <c r="E59" s="14" t="n">
        <v>0</v>
      </c>
      <c r="F59" s="16">
        <f>IF(AND(C59="Done",ISNUMBER(D59),E59&lt;4),D59+CHOOSE(E59+1,1,3,7,21),"")</f>
        <v/>
      </c>
      <c r="G59">
        <f>IF(F59="","",IF(F59&lt;=TODAY(),"Revise","Later"))</f>
        <v/>
      </c>
    </row>
    <row r="60">
      <c r="A60" s="17" t="inlineStr">
        <is>
          <t>Computer Networks</t>
        </is>
      </c>
      <c r="B60" s="17" t="inlineStr">
        <is>
          <t>Packet, circuit and virtual circuit switching</t>
        </is>
      </c>
      <c r="C60" s="14" t="inlineStr">
        <is>
          <t>Not started</t>
        </is>
      </c>
      <c r="D60" s="15" t="n"/>
      <c r="E60" s="14" t="n">
        <v>0</v>
      </c>
      <c r="F60" s="16">
        <f>IF(AND(C60="Done",ISNUMBER(D60),E60&lt;4),D60+CHOOSE(E60+1,1,3,7,21),"")</f>
        <v/>
      </c>
      <c r="G60">
        <f>IF(F60="","",IF(F60&lt;=TODAY(),"Revise","Later"))</f>
        <v/>
      </c>
    </row>
    <row r="61">
      <c r="A61" t="inlineStr">
        <is>
          <t>Computer Networks</t>
        </is>
      </c>
      <c r="B61" t="inlineStr">
        <is>
          <t>Data link layer: framing, error detection, MAC, Ethernet bridging</t>
        </is>
      </c>
      <c r="C61" s="14" t="inlineStr">
        <is>
          <t>Not started</t>
        </is>
      </c>
      <c r="D61" s="15" t="n"/>
      <c r="E61" s="14" t="n">
        <v>0</v>
      </c>
      <c r="F61" s="16">
        <f>IF(AND(C61="Done",ISNUMBER(D61),E61&lt;4),D61+CHOOSE(E61+1,1,3,7,21),"")</f>
        <v/>
      </c>
      <c r="G61">
        <f>IF(F61="","",IF(F61&lt;=TODAY(),"Revise","Later"))</f>
        <v/>
      </c>
    </row>
    <row r="62">
      <c r="A62" s="17" t="inlineStr">
        <is>
          <t>Computer Networks</t>
        </is>
      </c>
      <c r="B62" s="17" t="inlineStr">
        <is>
          <t>Routing protocols: shortest path, flooding, distance vector, link state</t>
        </is>
      </c>
      <c r="C62" s="14" t="inlineStr">
        <is>
          <t>Not started</t>
        </is>
      </c>
      <c r="D62" s="15" t="n"/>
      <c r="E62" s="14" t="n">
        <v>0</v>
      </c>
      <c r="F62" s="16">
        <f>IF(AND(C62="Done",ISNUMBER(D62),E62&lt;4),D62+CHOOSE(E62+1,1,3,7,21),"")</f>
        <v/>
      </c>
      <c r="G62">
        <f>IF(F62="","",IF(F62&lt;=TODAY(),"Revise","Later"))</f>
        <v/>
      </c>
    </row>
    <row r="63">
      <c r="A63" t="inlineStr">
        <is>
          <t>Computer Networks</t>
        </is>
      </c>
      <c r="B63" t="inlineStr">
        <is>
          <t>Fragmentation and IP addressing, IPv4, CIDR notation</t>
        </is>
      </c>
      <c r="C63" s="14" t="inlineStr">
        <is>
          <t>Not started</t>
        </is>
      </c>
      <c r="D63" s="15" t="n"/>
      <c r="E63" s="14" t="n">
        <v>0</v>
      </c>
      <c r="F63" s="16">
        <f>IF(AND(C63="Done",ISNUMBER(D63),E63&lt;4),D63+CHOOSE(E63+1,1,3,7,21),"")</f>
        <v/>
      </c>
      <c r="G63">
        <f>IF(F63="","",IF(F63&lt;=TODAY(),"Revise","Later"))</f>
        <v/>
      </c>
    </row>
    <row r="64">
      <c r="A64" s="17" t="inlineStr">
        <is>
          <t>Computer Networks</t>
        </is>
      </c>
      <c r="B64" s="17" t="inlineStr">
        <is>
          <t>Transport layer: flow control and congestion control, UDP, TCP, sockets</t>
        </is>
      </c>
      <c r="C64" s="14" t="inlineStr">
        <is>
          <t>Not started</t>
        </is>
      </c>
      <c r="D64" s="15" t="n"/>
      <c r="E64" s="14" t="n">
        <v>0</v>
      </c>
      <c r="F64" s="16">
        <f>IF(AND(C64="Done",ISNUMBER(D64),E64&lt;4),D64+CHOOSE(E64+1,1,3,7,21),"")</f>
        <v/>
      </c>
      <c r="G64">
        <f>IF(F64="","",IF(F64&lt;=TODAY(),"Revise","Later"))</f>
        <v/>
      </c>
    </row>
    <row r="65">
      <c r="A65" t="inlineStr">
        <is>
          <t>Computer Networks</t>
        </is>
      </c>
      <c r="B65" t="inlineStr">
        <is>
          <t>Application layer: DNS, HTTP (2027: only these two)</t>
        </is>
      </c>
      <c r="C65" s="14" t="inlineStr">
        <is>
          <t>Not started</t>
        </is>
      </c>
      <c r="D65" s="15" t="n"/>
      <c r="E65" s="14" t="n">
        <v>0</v>
      </c>
      <c r="F65" s="16">
        <f>IF(AND(C65="Done",ISNUMBER(D65),E65&lt;4),D65+CHOOSE(E65+1,1,3,7,21),"")</f>
        <v/>
      </c>
      <c r="G65">
        <f>IF(F65="","",IF(F65&lt;=TODAY(),"Revise","Later"))</f>
        <v/>
      </c>
    </row>
    <row r="66">
      <c r="A66" s="17" t="inlineStr">
        <is>
          <t>General Aptitude</t>
        </is>
      </c>
      <c r="B66" s="17" t="inlineStr">
        <is>
          <t>Verbal aptitude</t>
        </is>
      </c>
      <c r="C66" s="14" t="inlineStr">
        <is>
          <t>Not started</t>
        </is>
      </c>
      <c r="D66" s="15" t="n"/>
      <c r="E66" s="14" t="n">
        <v>0</v>
      </c>
      <c r="F66" s="16">
        <f>IF(AND(C66="Done",ISNUMBER(D66),E66&lt;4),D66+CHOOSE(E66+1,1,3,7,21),"")</f>
        <v/>
      </c>
      <c r="G66">
        <f>IF(F66="","",IF(F66&lt;=TODAY(),"Revise","Later"))</f>
        <v/>
      </c>
    </row>
    <row r="67">
      <c r="A67" t="inlineStr">
        <is>
          <t>General Aptitude</t>
        </is>
      </c>
      <c r="B67" t="inlineStr">
        <is>
          <t>Quantitative aptitude</t>
        </is>
      </c>
      <c r="C67" s="14" t="inlineStr">
        <is>
          <t>Not started</t>
        </is>
      </c>
      <c r="D67" s="15" t="n"/>
      <c r="E67" s="14" t="n">
        <v>0</v>
      </c>
      <c r="F67" s="16">
        <f>IF(AND(C67="Done",ISNUMBER(D67),E67&lt;4),D67+CHOOSE(E67+1,1,3,7,21),"")</f>
        <v/>
      </c>
      <c r="G67">
        <f>IF(F67="","",IF(F67&lt;=TODAY(),"Revise","Later"))</f>
        <v/>
      </c>
    </row>
    <row r="68">
      <c r="A68" s="17" t="inlineStr">
        <is>
          <t>General Aptitude</t>
        </is>
      </c>
      <c r="B68" s="17" t="inlineStr">
        <is>
          <t>Analytical aptitude</t>
        </is>
      </c>
      <c r="C68" s="14" t="inlineStr">
        <is>
          <t>Not started</t>
        </is>
      </c>
      <c r="D68" s="15" t="n"/>
      <c r="E68" s="14" t="n">
        <v>0</v>
      </c>
      <c r="F68" s="16">
        <f>IF(AND(C68="Done",ISNUMBER(D68),E68&lt;4),D68+CHOOSE(E68+1,1,3,7,21),"")</f>
        <v/>
      </c>
      <c r="G68">
        <f>IF(F68="","",IF(F68&lt;=TODAY(),"Revise","Later"))</f>
        <v/>
      </c>
    </row>
    <row r="69">
      <c r="A69" t="inlineStr">
        <is>
          <t>General Aptitude</t>
        </is>
      </c>
      <c r="B69" t="inlineStr">
        <is>
          <t>Spatial aptitude</t>
        </is>
      </c>
      <c r="C69" s="14" t="inlineStr">
        <is>
          <t>Not started</t>
        </is>
      </c>
      <c r="D69" s="15" t="n"/>
      <c r="E69" s="14" t="n">
        <v>0</v>
      </c>
      <c r="F69" s="16">
        <f>IF(AND(C69="Done",ISNUMBER(D69),E69&lt;4),D69+CHOOSE(E69+1,1,3,7,21),"")</f>
        <v/>
      </c>
      <c r="G69">
        <f>IF(F69="","",IF(F69&lt;=TODAY(),"Revise","Later"))</f>
        <v/>
      </c>
    </row>
    <row r="71">
      <c r="A71" s="18" t="inlineStr">
        <is>
          <t>When you revise a topic, add 1 to 'Revisions done' and type today's date in 'Done on'. After 4 revisions it's off the list.</t>
        </is>
      </c>
    </row>
  </sheetData>
  <conditionalFormatting sqref="C5:C69">
    <cfRule type="cellIs" priority="1" operator="equal" dxfId="0">
      <formula>"Done"</formula>
    </cfRule>
  </conditionalFormatting>
  <conditionalFormatting sqref="G5:G69">
    <cfRule type="cellIs" priority="2" operator="equal" dxfId="1">
      <formula>"Revise"</formula>
    </cfRule>
  </conditionalFormatting>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C66 C67 C68 C69" showDropDown="0" showInputMessage="0" showErrorMessage="0" allowBlank="1" type="list">
      <formula1>"Not started,Learning,Done"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6"/>
  <sheetViews>
    <sheetView showGridLines="0" workbookViewId="0">
      <selection activeCell="A1" sqref="A1"/>
    </sheetView>
  </sheetViews>
  <sheetFormatPr baseColWidth="8" defaultRowHeight="15"/>
  <cols>
    <col width="14" customWidth="1" min="1" max="1"/>
    <col width="9" customWidth="1" min="2" max="2"/>
    <col width="28" customWidth="1" min="3" max="3"/>
    <col width="14" customWidth="1" min="4" max="4"/>
    <col width="9" customWidth="1" min="5" max="5"/>
  </cols>
  <sheetData>
    <row r="1">
      <c r="A1" s="1" t="inlineStr">
        <is>
          <t>Daily log</t>
        </is>
      </c>
      <c r="B1" s="2" t="n"/>
      <c r="C1" s="2" t="n"/>
      <c r="D1" s="2" t="n"/>
      <c r="E1" s="2" t="n"/>
      <c r="F1" s="2" t="n"/>
    </row>
    <row r="2">
      <c r="A2" s="3" t="inlineStr">
        <is>
          <t>Type the hours you studied · the streak counts consecutive days with hours &gt; 0</t>
        </is>
      </c>
      <c r="B2" s="2" t="n"/>
      <c r="C2" s="2" t="n"/>
      <c r="D2" s="2" t="n"/>
      <c r="E2" s="2" t="n"/>
      <c r="F2" s="2" t="n"/>
    </row>
    <row r="3">
      <c r="A3" s="6" t="inlineStr">
        <is>
          <t>Total hours</t>
        </is>
      </c>
      <c r="B3">
        <f>SUM(B6:B126)</f>
        <v/>
      </c>
      <c r="E3" s="6" t="inlineStr">
        <is>
          <t>Current streak</t>
        </is>
      </c>
      <c r="F3" s="19">
        <f>IFERROR(IF(N(INDEX(B6:B126,MATCH(TODAY(),A6:A126,0)))&gt;0,INDEX(E6:E126,MATCH(TODAY(),A6:A126,0)),IF(MATCH(TODAY(),A6:A126,0)&gt;1,INDEX(E6:E126,MATCH(TODAY(),A6:A126,0)-1),0)),0)</f>
        <v/>
      </c>
    </row>
    <row r="5">
      <c r="A5" s="13" t="inlineStr">
        <is>
          <t>Date</t>
        </is>
      </c>
      <c r="B5" s="13" t="inlineStr">
        <is>
          <t>Hours</t>
        </is>
      </c>
      <c r="C5" s="13" t="inlineStr">
        <is>
          <t>Subject (optional)</t>
        </is>
      </c>
      <c r="D5" s="13" t="inlineStr">
        <is>
          <t>Questions solved</t>
        </is>
      </c>
      <c r="E5" s="13" t="inlineStr">
        <is>
          <t>Streak</t>
        </is>
      </c>
    </row>
    <row r="6">
      <c r="A6" s="20">
        <f>Plan!$B$4-120</f>
        <v/>
      </c>
      <c r="B6" s="14" t="n"/>
      <c r="C6" s="14" t="n"/>
      <c r="D6" s="14" t="n"/>
      <c r="E6">
        <f>IF(N(B6)&gt;0,1,0)</f>
        <v/>
      </c>
    </row>
    <row r="7">
      <c r="A7" s="20">
        <f>Plan!$B$4-119</f>
        <v/>
      </c>
      <c r="B7" s="14" t="n"/>
      <c r="C7" s="14" t="n"/>
      <c r="D7" s="14" t="n"/>
      <c r="E7">
        <f>IF(N(B7)&gt;0,E6+1,0)</f>
        <v/>
      </c>
    </row>
    <row r="8">
      <c r="A8" s="20">
        <f>Plan!$B$4-118</f>
        <v/>
      </c>
      <c r="B8" s="14" t="n"/>
      <c r="C8" s="14" t="n"/>
      <c r="D8" s="14" t="n"/>
      <c r="E8">
        <f>IF(N(B8)&gt;0,E7+1,0)</f>
        <v/>
      </c>
    </row>
    <row r="9">
      <c r="A9" s="20">
        <f>Plan!$B$4-117</f>
        <v/>
      </c>
      <c r="B9" s="14" t="n"/>
      <c r="C9" s="14" t="n"/>
      <c r="D9" s="14" t="n"/>
      <c r="E9">
        <f>IF(N(B9)&gt;0,E8+1,0)</f>
        <v/>
      </c>
    </row>
    <row r="10">
      <c r="A10" s="20">
        <f>Plan!$B$4-116</f>
        <v/>
      </c>
      <c r="B10" s="14" t="n"/>
      <c r="C10" s="14" t="n"/>
      <c r="D10" s="14" t="n"/>
      <c r="E10">
        <f>IF(N(B10)&gt;0,E9+1,0)</f>
        <v/>
      </c>
    </row>
    <row r="11">
      <c r="A11" s="20">
        <f>Plan!$B$4-115</f>
        <v/>
      </c>
      <c r="B11" s="14" t="n"/>
      <c r="C11" s="14" t="n"/>
      <c r="D11" s="14" t="n"/>
      <c r="E11">
        <f>IF(N(B11)&gt;0,E10+1,0)</f>
        <v/>
      </c>
    </row>
    <row r="12">
      <c r="A12" s="20">
        <f>Plan!$B$4-114</f>
        <v/>
      </c>
      <c r="B12" s="14" t="n"/>
      <c r="C12" s="14" t="n"/>
      <c r="D12" s="14" t="n"/>
      <c r="E12">
        <f>IF(N(B12)&gt;0,E11+1,0)</f>
        <v/>
      </c>
    </row>
    <row r="13">
      <c r="A13" s="20">
        <f>Plan!$B$4-113</f>
        <v/>
      </c>
      <c r="B13" s="14" t="n"/>
      <c r="C13" s="14" t="n"/>
      <c r="D13" s="14" t="n"/>
      <c r="E13">
        <f>IF(N(B13)&gt;0,E12+1,0)</f>
        <v/>
      </c>
    </row>
    <row r="14">
      <c r="A14" s="20">
        <f>Plan!$B$4-112</f>
        <v/>
      </c>
      <c r="B14" s="14" t="n"/>
      <c r="C14" s="14" t="n"/>
      <c r="D14" s="14" t="n"/>
      <c r="E14">
        <f>IF(N(B14)&gt;0,E13+1,0)</f>
        <v/>
      </c>
    </row>
    <row r="15">
      <c r="A15" s="20">
        <f>Plan!$B$4-111</f>
        <v/>
      </c>
      <c r="B15" s="14" t="n"/>
      <c r="C15" s="14" t="n"/>
      <c r="D15" s="14" t="n"/>
      <c r="E15">
        <f>IF(N(B15)&gt;0,E14+1,0)</f>
        <v/>
      </c>
    </row>
    <row r="16">
      <c r="A16" s="20">
        <f>Plan!$B$4-110</f>
        <v/>
      </c>
      <c r="B16" s="14" t="n"/>
      <c r="C16" s="14" t="n"/>
      <c r="D16" s="14" t="n"/>
      <c r="E16">
        <f>IF(N(B16)&gt;0,E15+1,0)</f>
        <v/>
      </c>
    </row>
    <row r="17">
      <c r="A17" s="20">
        <f>Plan!$B$4-109</f>
        <v/>
      </c>
      <c r="B17" s="14" t="n"/>
      <c r="C17" s="14" t="n"/>
      <c r="D17" s="14" t="n"/>
      <c r="E17">
        <f>IF(N(B17)&gt;0,E16+1,0)</f>
        <v/>
      </c>
    </row>
    <row r="18">
      <c r="A18" s="20">
        <f>Plan!$B$4-108</f>
        <v/>
      </c>
      <c r="B18" s="14" t="n"/>
      <c r="C18" s="14" t="n"/>
      <c r="D18" s="14" t="n"/>
      <c r="E18">
        <f>IF(N(B18)&gt;0,E17+1,0)</f>
        <v/>
      </c>
    </row>
    <row r="19">
      <c r="A19" s="20">
        <f>Plan!$B$4-107</f>
        <v/>
      </c>
      <c r="B19" s="14" t="n"/>
      <c r="C19" s="14" t="n"/>
      <c r="D19" s="14" t="n"/>
      <c r="E19">
        <f>IF(N(B19)&gt;0,E18+1,0)</f>
        <v/>
      </c>
    </row>
    <row r="20">
      <c r="A20" s="20">
        <f>Plan!$B$4-106</f>
        <v/>
      </c>
      <c r="B20" s="14" t="n"/>
      <c r="C20" s="14" t="n"/>
      <c r="D20" s="14" t="n"/>
      <c r="E20">
        <f>IF(N(B20)&gt;0,E19+1,0)</f>
        <v/>
      </c>
    </row>
    <row r="21">
      <c r="A21" s="20">
        <f>Plan!$B$4-105</f>
        <v/>
      </c>
      <c r="B21" s="14" t="n"/>
      <c r="C21" s="14" t="n"/>
      <c r="D21" s="14" t="n"/>
      <c r="E21">
        <f>IF(N(B21)&gt;0,E20+1,0)</f>
        <v/>
      </c>
    </row>
    <row r="22">
      <c r="A22" s="20">
        <f>Plan!$B$4-104</f>
        <v/>
      </c>
      <c r="B22" s="14" t="n"/>
      <c r="C22" s="14" t="n"/>
      <c r="D22" s="14" t="n"/>
      <c r="E22">
        <f>IF(N(B22)&gt;0,E21+1,0)</f>
        <v/>
      </c>
    </row>
    <row r="23">
      <c r="A23" s="20">
        <f>Plan!$B$4-103</f>
        <v/>
      </c>
      <c r="B23" s="14" t="n"/>
      <c r="C23" s="14" t="n"/>
      <c r="D23" s="14" t="n"/>
      <c r="E23">
        <f>IF(N(B23)&gt;0,E22+1,0)</f>
        <v/>
      </c>
    </row>
    <row r="24">
      <c r="A24" s="20">
        <f>Plan!$B$4-102</f>
        <v/>
      </c>
      <c r="B24" s="14" t="n"/>
      <c r="C24" s="14" t="n"/>
      <c r="D24" s="14" t="n"/>
      <c r="E24">
        <f>IF(N(B24)&gt;0,E23+1,0)</f>
        <v/>
      </c>
    </row>
    <row r="25">
      <c r="A25" s="20">
        <f>Plan!$B$4-101</f>
        <v/>
      </c>
      <c r="B25" s="14" t="n"/>
      <c r="C25" s="14" t="n"/>
      <c r="D25" s="14" t="n"/>
      <c r="E25">
        <f>IF(N(B25)&gt;0,E24+1,0)</f>
        <v/>
      </c>
    </row>
    <row r="26">
      <c r="A26" s="20">
        <f>Plan!$B$4-100</f>
        <v/>
      </c>
      <c r="B26" s="14" t="n"/>
      <c r="C26" s="14" t="n"/>
      <c r="D26" s="14" t="n"/>
      <c r="E26">
        <f>IF(N(B26)&gt;0,E25+1,0)</f>
        <v/>
      </c>
    </row>
    <row r="27">
      <c r="A27" s="20">
        <f>Plan!$B$4-99</f>
        <v/>
      </c>
      <c r="B27" s="14" t="n"/>
      <c r="C27" s="14" t="n"/>
      <c r="D27" s="14" t="n"/>
      <c r="E27">
        <f>IF(N(B27)&gt;0,E26+1,0)</f>
        <v/>
      </c>
    </row>
    <row r="28">
      <c r="A28" s="20">
        <f>Plan!$B$4-98</f>
        <v/>
      </c>
      <c r="B28" s="14" t="n"/>
      <c r="C28" s="14" t="n"/>
      <c r="D28" s="14" t="n"/>
      <c r="E28">
        <f>IF(N(B28)&gt;0,E27+1,0)</f>
        <v/>
      </c>
    </row>
    <row r="29">
      <c r="A29" s="20">
        <f>Plan!$B$4-97</f>
        <v/>
      </c>
      <c r="B29" s="14" t="n"/>
      <c r="C29" s="14" t="n"/>
      <c r="D29" s="14" t="n"/>
      <c r="E29">
        <f>IF(N(B29)&gt;0,E28+1,0)</f>
        <v/>
      </c>
    </row>
    <row r="30">
      <c r="A30" s="20">
        <f>Plan!$B$4-96</f>
        <v/>
      </c>
      <c r="B30" s="14" t="n"/>
      <c r="C30" s="14" t="n"/>
      <c r="D30" s="14" t="n"/>
      <c r="E30">
        <f>IF(N(B30)&gt;0,E29+1,0)</f>
        <v/>
      </c>
    </row>
    <row r="31">
      <c r="A31" s="20">
        <f>Plan!$B$4-95</f>
        <v/>
      </c>
      <c r="B31" s="14" t="n"/>
      <c r="C31" s="14" t="n"/>
      <c r="D31" s="14" t="n"/>
      <c r="E31">
        <f>IF(N(B31)&gt;0,E30+1,0)</f>
        <v/>
      </c>
    </row>
    <row r="32">
      <c r="A32" s="20">
        <f>Plan!$B$4-94</f>
        <v/>
      </c>
      <c r="B32" s="14" t="n"/>
      <c r="C32" s="14" t="n"/>
      <c r="D32" s="14" t="n"/>
      <c r="E32">
        <f>IF(N(B32)&gt;0,E31+1,0)</f>
        <v/>
      </c>
    </row>
    <row r="33">
      <c r="A33" s="20">
        <f>Plan!$B$4-93</f>
        <v/>
      </c>
      <c r="B33" s="14" t="n"/>
      <c r="C33" s="14" t="n"/>
      <c r="D33" s="14" t="n"/>
      <c r="E33">
        <f>IF(N(B33)&gt;0,E32+1,0)</f>
        <v/>
      </c>
    </row>
    <row r="34">
      <c r="A34" s="20">
        <f>Plan!$B$4-92</f>
        <v/>
      </c>
      <c r="B34" s="14" t="n"/>
      <c r="C34" s="14" t="n"/>
      <c r="D34" s="14" t="n"/>
      <c r="E34">
        <f>IF(N(B34)&gt;0,E33+1,0)</f>
        <v/>
      </c>
    </row>
    <row r="35">
      <c r="A35" s="20">
        <f>Plan!$B$4-91</f>
        <v/>
      </c>
      <c r="B35" s="14" t="n"/>
      <c r="C35" s="14" t="n"/>
      <c r="D35" s="14" t="n"/>
      <c r="E35">
        <f>IF(N(B35)&gt;0,E34+1,0)</f>
        <v/>
      </c>
    </row>
    <row r="36">
      <c r="A36" s="20">
        <f>Plan!$B$4-90</f>
        <v/>
      </c>
      <c r="B36" s="14" t="n"/>
      <c r="C36" s="14" t="n"/>
      <c r="D36" s="14" t="n"/>
      <c r="E36">
        <f>IF(N(B36)&gt;0,E35+1,0)</f>
        <v/>
      </c>
    </row>
    <row r="37">
      <c r="A37" s="20">
        <f>Plan!$B$4-89</f>
        <v/>
      </c>
      <c r="B37" s="14" t="n"/>
      <c r="C37" s="14" t="n"/>
      <c r="D37" s="14" t="n"/>
      <c r="E37">
        <f>IF(N(B37)&gt;0,E36+1,0)</f>
        <v/>
      </c>
    </row>
    <row r="38">
      <c r="A38" s="20">
        <f>Plan!$B$4-88</f>
        <v/>
      </c>
      <c r="B38" s="14" t="n"/>
      <c r="C38" s="14" t="n"/>
      <c r="D38" s="14" t="n"/>
      <c r="E38">
        <f>IF(N(B38)&gt;0,E37+1,0)</f>
        <v/>
      </c>
    </row>
    <row r="39">
      <c r="A39" s="20">
        <f>Plan!$B$4-87</f>
        <v/>
      </c>
      <c r="B39" s="14" t="n"/>
      <c r="C39" s="14" t="n"/>
      <c r="D39" s="14" t="n"/>
      <c r="E39">
        <f>IF(N(B39)&gt;0,E38+1,0)</f>
        <v/>
      </c>
    </row>
    <row r="40">
      <c r="A40" s="20">
        <f>Plan!$B$4-86</f>
        <v/>
      </c>
      <c r="B40" s="14" t="n"/>
      <c r="C40" s="14" t="n"/>
      <c r="D40" s="14" t="n"/>
      <c r="E40">
        <f>IF(N(B40)&gt;0,E39+1,0)</f>
        <v/>
      </c>
    </row>
    <row r="41">
      <c r="A41" s="20">
        <f>Plan!$B$4-85</f>
        <v/>
      </c>
      <c r="B41" s="14" t="n"/>
      <c r="C41" s="14" t="n"/>
      <c r="D41" s="14" t="n"/>
      <c r="E41">
        <f>IF(N(B41)&gt;0,E40+1,0)</f>
        <v/>
      </c>
    </row>
    <row r="42">
      <c r="A42" s="20">
        <f>Plan!$B$4-84</f>
        <v/>
      </c>
      <c r="B42" s="14" t="n"/>
      <c r="C42" s="14" t="n"/>
      <c r="D42" s="14" t="n"/>
      <c r="E42">
        <f>IF(N(B42)&gt;0,E41+1,0)</f>
        <v/>
      </c>
    </row>
    <row r="43">
      <c r="A43" s="20">
        <f>Plan!$B$4-83</f>
        <v/>
      </c>
      <c r="B43" s="14" t="n"/>
      <c r="C43" s="14" t="n"/>
      <c r="D43" s="14" t="n"/>
      <c r="E43">
        <f>IF(N(B43)&gt;0,E42+1,0)</f>
        <v/>
      </c>
    </row>
    <row r="44">
      <c r="A44" s="20">
        <f>Plan!$B$4-82</f>
        <v/>
      </c>
      <c r="B44" s="14" t="n"/>
      <c r="C44" s="14" t="n"/>
      <c r="D44" s="14" t="n"/>
      <c r="E44">
        <f>IF(N(B44)&gt;0,E43+1,0)</f>
        <v/>
      </c>
    </row>
    <row r="45">
      <c r="A45" s="20">
        <f>Plan!$B$4-81</f>
        <v/>
      </c>
      <c r="B45" s="14" t="n"/>
      <c r="C45" s="14" t="n"/>
      <c r="D45" s="14" t="n"/>
      <c r="E45">
        <f>IF(N(B45)&gt;0,E44+1,0)</f>
        <v/>
      </c>
    </row>
    <row r="46">
      <c r="A46" s="20">
        <f>Plan!$B$4-80</f>
        <v/>
      </c>
      <c r="B46" s="14" t="n"/>
      <c r="C46" s="14" t="n"/>
      <c r="D46" s="14" t="n"/>
      <c r="E46">
        <f>IF(N(B46)&gt;0,E45+1,0)</f>
        <v/>
      </c>
    </row>
    <row r="47">
      <c r="A47" s="20">
        <f>Plan!$B$4-79</f>
        <v/>
      </c>
      <c r="B47" s="14" t="n"/>
      <c r="C47" s="14" t="n"/>
      <c r="D47" s="14" t="n"/>
      <c r="E47">
        <f>IF(N(B47)&gt;0,E46+1,0)</f>
        <v/>
      </c>
    </row>
    <row r="48">
      <c r="A48" s="20">
        <f>Plan!$B$4-78</f>
        <v/>
      </c>
      <c r="B48" s="14" t="n"/>
      <c r="C48" s="14" t="n"/>
      <c r="D48" s="14" t="n"/>
      <c r="E48">
        <f>IF(N(B48)&gt;0,E47+1,0)</f>
        <v/>
      </c>
    </row>
    <row r="49">
      <c r="A49" s="20">
        <f>Plan!$B$4-77</f>
        <v/>
      </c>
      <c r="B49" s="14" t="n"/>
      <c r="C49" s="14" t="n"/>
      <c r="D49" s="14" t="n"/>
      <c r="E49">
        <f>IF(N(B49)&gt;0,E48+1,0)</f>
        <v/>
      </c>
    </row>
    <row r="50">
      <c r="A50" s="20">
        <f>Plan!$B$4-76</f>
        <v/>
      </c>
      <c r="B50" s="14" t="n"/>
      <c r="C50" s="14" t="n"/>
      <c r="D50" s="14" t="n"/>
      <c r="E50">
        <f>IF(N(B50)&gt;0,E49+1,0)</f>
        <v/>
      </c>
    </row>
    <row r="51">
      <c r="A51" s="20">
        <f>Plan!$B$4-75</f>
        <v/>
      </c>
      <c r="B51" s="14" t="n"/>
      <c r="C51" s="14" t="n"/>
      <c r="D51" s="14" t="n"/>
      <c r="E51">
        <f>IF(N(B51)&gt;0,E50+1,0)</f>
        <v/>
      </c>
    </row>
    <row r="52">
      <c r="A52" s="20">
        <f>Plan!$B$4-74</f>
        <v/>
      </c>
      <c r="B52" s="14" t="n"/>
      <c r="C52" s="14" t="n"/>
      <c r="D52" s="14" t="n"/>
      <c r="E52">
        <f>IF(N(B52)&gt;0,E51+1,0)</f>
        <v/>
      </c>
    </row>
    <row r="53">
      <c r="A53" s="20">
        <f>Plan!$B$4-73</f>
        <v/>
      </c>
      <c r="B53" s="14" t="n"/>
      <c r="C53" s="14" t="n"/>
      <c r="D53" s="14" t="n"/>
      <c r="E53">
        <f>IF(N(B53)&gt;0,E52+1,0)</f>
        <v/>
      </c>
    </row>
    <row r="54">
      <c r="A54" s="20">
        <f>Plan!$B$4-72</f>
        <v/>
      </c>
      <c r="B54" s="14" t="n"/>
      <c r="C54" s="14" t="n"/>
      <c r="D54" s="14" t="n"/>
      <c r="E54">
        <f>IF(N(B54)&gt;0,E53+1,0)</f>
        <v/>
      </c>
    </row>
    <row r="55">
      <c r="A55" s="20">
        <f>Plan!$B$4-71</f>
        <v/>
      </c>
      <c r="B55" s="14" t="n"/>
      <c r="C55" s="14" t="n"/>
      <c r="D55" s="14" t="n"/>
      <c r="E55">
        <f>IF(N(B55)&gt;0,E54+1,0)</f>
        <v/>
      </c>
    </row>
    <row r="56">
      <c r="A56" s="20">
        <f>Plan!$B$4-70</f>
        <v/>
      </c>
      <c r="B56" s="14" t="n"/>
      <c r="C56" s="14" t="n"/>
      <c r="D56" s="14" t="n"/>
      <c r="E56">
        <f>IF(N(B56)&gt;0,E55+1,0)</f>
        <v/>
      </c>
    </row>
    <row r="57">
      <c r="A57" s="20">
        <f>Plan!$B$4-69</f>
        <v/>
      </c>
      <c r="B57" s="14" t="n"/>
      <c r="C57" s="14" t="n"/>
      <c r="D57" s="14" t="n"/>
      <c r="E57">
        <f>IF(N(B57)&gt;0,E56+1,0)</f>
        <v/>
      </c>
    </row>
    <row r="58">
      <c r="A58" s="20">
        <f>Plan!$B$4-68</f>
        <v/>
      </c>
      <c r="B58" s="14" t="n"/>
      <c r="C58" s="14" t="n"/>
      <c r="D58" s="14" t="n"/>
      <c r="E58">
        <f>IF(N(B58)&gt;0,E57+1,0)</f>
        <v/>
      </c>
    </row>
    <row r="59">
      <c r="A59" s="20">
        <f>Plan!$B$4-67</f>
        <v/>
      </c>
      <c r="B59" s="14" t="n"/>
      <c r="C59" s="14" t="n"/>
      <c r="D59" s="14" t="n"/>
      <c r="E59">
        <f>IF(N(B59)&gt;0,E58+1,0)</f>
        <v/>
      </c>
    </row>
    <row r="60">
      <c r="A60" s="20">
        <f>Plan!$B$4-66</f>
        <v/>
      </c>
      <c r="B60" s="14" t="n"/>
      <c r="C60" s="14" t="n"/>
      <c r="D60" s="14" t="n"/>
      <c r="E60">
        <f>IF(N(B60)&gt;0,E59+1,0)</f>
        <v/>
      </c>
    </row>
    <row r="61">
      <c r="A61" s="20">
        <f>Plan!$B$4-65</f>
        <v/>
      </c>
      <c r="B61" s="14" t="n"/>
      <c r="C61" s="14" t="n"/>
      <c r="D61" s="14" t="n"/>
      <c r="E61">
        <f>IF(N(B61)&gt;0,E60+1,0)</f>
        <v/>
      </c>
    </row>
    <row r="62">
      <c r="A62" s="20">
        <f>Plan!$B$4-64</f>
        <v/>
      </c>
      <c r="B62" s="14" t="n"/>
      <c r="C62" s="14" t="n"/>
      <c r="D62" s="14" t="n"/>
      <c r="E62">
        <f>IF(N(B62)&gt;0,E61+1,0)</f>
        <v/>
      </c>
    </row>
    <row r="63">
      <c r="A63" s="20">
        <f>Plan!$B$4-63</f>
        <v/>
      </c>
      <c r="B63" s="14" t="n"/>
      <c r="C63" s="14" t="n"/>
      <c r="D63" s="14" t="n"/>
      <c r="E63">
        <f>IF(N(B63)&gt;0,E62+1,0)</f>
        <v/>
      </c>
    </row>
    <row r="64">
      <c r="A64" s="20">
        <f>Plan!$B$4-62</f>
        <v/>
      </c>
      <c r="B64" s="14" t="n"/>
      <c r="C64" s="14" t="n"/>
      <c r="D64" s="14" t="n"/>
      <c r="E64">
        <f>IF(N(B64)&gt;0,E63+1,0)</f>
        <v/>
      </c>
    </row>
    <row r="65">
      <c r="A65" s="20">
        <f>Plan!$B$4-61</f>
        <v/>
      </c>
      <c r="B65" s="14" t="n"/>
      <c r="C65" s="14" t="n"/>
      <c r="D65" s="14" t="n"/>
      <c r="E65">
        <f>IF(N(B65)&gt;0,E64+1,0)</f>
        <v/>
      </c>
    </row>
    <row r="66">
      <c r="A66" s="20">
        <f>Plan!$B$4-60</f>
        <v/>
      </c>
      <c r="B66" s="14" t="n"/>
      <c r="C66" s="14" t="n"/>
      <c r="D66" s="14" t="n"/>
      <c r="E66">
        <f>IF(N(B66)&gt;0,E65+1,0)</f>
        <v/>
      </c>
    </row>
    <row r="67">
      <c r="A67" s="20">
        <f>Plan!$B$4-59</f>
        <v/>
      </c>
      <c r="B67" s="14" t="n"/>
      <c r="C67" s="14" t="n"/>
      <c r="D67" s="14" t="n"/>
      <c r="E67">
        <f>IF(N(B67)&gt;0,E66+1,0)</f>
        <v/>
      </c>
    </row>
    <row r="68">
      <c r="A68" s="20">
        <f>Plan!$B$4-58</f>
        <v/>
      </c>
      <c r="B68" s="14" t="n"/>
      <c r="C68" s="14" t="n"/>
      <c r="D68" s="14" t="n"/>
      <c r="E68">
        <f>IF(N(B68)&gt;0,E67+1,0)</f>
        <v/>
      </c>
    </row>
    <row r="69">
      <c r="A69" s="20">
        <f>Plan!$B$4-57</f>
        <v/>
      </c>
      <c r="B69" s="14" t="n"/>
      <c r="C69" s="14" t="n"/>
      <c r="D69" s="14" t="n"/>
      <c r="E69">
        <f>IF(N(B69)&gt;0,E68+1,0)</f>
        <v/>
      </c>
    </row>
    <row r="70">
      <c r="A70" s="20">
        <f>Plan!$B$4-56</f>
        <v/>
      </c>
      <c r="B70" s="14" t="n"/>
      <c r="C70" s="14" t="n"/>
      <c r="D70" s="14" t="n"/>
      <c r="E70">
        <f>IF(N(B70)&gt;0,E69+1,0)</f>
        <v/>
      </c>
    </row>
    <row r="71">
      <c r="A71" s="20">
        <f>Plan!$B$4-55</f>
        <v/>
      </c>
      <c r="B71" s="14" t="n"/>
      <c r="C71" s="14" t="n"/>
      <c r="D71" s="14" t="n"/>
      <c r="E71">
        <f>IF(N(B71)&gt;0,E70+1,0)</f>
        <v/>
      </c>
    </row>
    <row r="72">
      <c r="A72" s="20">
        <f>Plan!$B$4-54</f>
        <v/>
      </c>
      <c r="B72" s="14" t="n"/>
      <c r="C72" s="14" t="n"/>
      <c r="D72" s="14" t="n"/>
      <c r="E72">
        <f>IF(N(B72)&gt;0,E71+1,0)</f>
        <v/>
      </c>
    </row>
    <row r="73">
      <c r="A73" s="20">
        <f>Plan!$B$4-53</f>
        <v/>
      </c>
      <c r="B73" s="14" t="n"/>
      <c r="C73" s="14" t="n"/>
      <c r="D73" s="14" t="n"/>
      <c r="E73">
        <f>IF(N(B73)&gt;0,E72+1,0)</f>
        <v/>
      </c>
    </row>
    <row r="74">
      <c r="A74" s="20">
        <f>Plan!$B$4-52</f>
        <v/>
      </c>
      <c r="B74" s="14" t="n"/>
      <c r="C74" s="14" t="n"/>
      <c r="D74" s="14" t="n"/>
      <c r="E74">
        <f>IF(N(B74)&gt;0,E73+1,0)</f>
        <v/>
      </c>
    </row>
    <row r="75">
      <c r="A75" s="20">
        <f>Plan!$B$4-51</f>
        <v/>
      </c>
      <c r="B75" s="14" t="n"/>
      <c r="C75" s="14" t="n"/>
      <c r="D75" s="14" t="n"/>
      <c r="E75">
        <f>IF(N(B75)&gt;0,E74+1,0)</f>
        <v/>
      </c>
    </row>
    <row r="76">
      <c r="A76" s="20">
        <f>Plan!$B$4-50</f>
        <v/>
      </c>
      <c r="B76" s="14" t="n"/>
      <c r="C76" s="14" t="n"/>
      <c r="D76" s="14" t="n"/>
      <c r="E76">
        <f>IF(N(B76)&gt;0,E75+1,0)</f>
        <v/>
      </c>
    </row>
    <row r="77">
      <c r="A77" s="20">
        <f>Plan!$B$4-49</f>
        <v/>
      </c>
      <c r="B77" s="14" t="n"/>
      <c r="C77" s="14" t="n"/>
      <c r="D77" s="14" t="n"/>
      <c r="E77">
        <f>IF(N(B77)&gt;0,E76+1,0)</f>
        <v/>
      </c>
    </row>
    <row r="78">
      <c r="A78" s="20">
        <f>Plan!$B$4-48</f>
        <v/>
      </c>
      <c r="B78" s="14" t="n"/>
      <c r="C78" s="14" t="n"/>
      <c r="D78" s="14" t="n"/>
      <c r="E78">
        <f>IF(N(B78)&gt;0,E77+1,0)</f>
        <v/>
      </c>
    </row>
    <row r="79">
      <c r="A79" s="20">
        <f>Plan!$B$4-47</f>
        <v/>
      </c>
      <c r="B79" s="14" t="n"/>
      <c r="C79" s="14" t="n"/>
      <c r="D79" s="14" t="n"/>
      <c r="E79">
        <f>IF(N(B79)&gt;0,E78+1,0)</f>
        <v/>
      </c>
    </row>
    <row r="80">
      <c r="A80" s="20">
        <f>Plan!$B$4-46</f>
        <v/>
      </c>
      <c r="B80" s="14" t="n"/>
      <c r="C80" s="14" t="n"/>
      <c r="D80" s="14" t="n"/>
      <c r="E80">
        <f>IF(N(B80)&gt;0,E79+1,0)</f>
        <v/>
      </c>
    </row>
    <row r="81">
      <c r="A81" s="20">
        <f>Plan!$B$4-45</f>
        <v/>
      </c>
      <c r="B81" s="14" t="n"/>
      <c r="C81" s="14" t="n"/>
      <c r="D81" s="14" t="n"/>
      <c r="E81">
        <f>IF(N(B81)&gt;0,E80+1,0)</f>
        <v/>
      </c>
    </row>
    <row r="82">
      <c r="A82" s="20">
        <f>Plan!$B$4-44</f>
        <v/>
      </c>
      <c r="B82" s="14" t="n"/>
      <c r="C82" s="14" t="n"/>
      <c r="D82" s="14" t="n"/>
      <c r="E82">
        <f>IF(N(B82)&gt;0,E81+1,0)</f>
        <v/>
      </c>
    </row>
    <row r="83">
      <c r="A83" s="20">
        <f>Plan!$B$4-43</f>
        <v/>
      </c>
      <c r="B83" s="14" t="n"/>
      <c r="C83" s="14" t="n"/>
      <c r="D83" s="14" t="n"/>
      <c r="E83">
        <f>IF(N(B83)&gt;0,E82+1,0)</f>
        <v/>
      </c>
    </row>
    <row r="84">
      <c r="A84" s="20">
        <f>Plan!$B$4-42</f>
        <v/>
      </c>
      <c r="B84" s="14" t="n"/>
      <c r="C84" s="14" t="n"/>
      <c r="D84" s="14" t="n"/>
      <c r="E84">
        <f>IF(N(B84)&gt;0,E83+1,0)</f>
        <v/>
      </c>
    </row>
    <row r="85">
      <c r="A85" s="20">
        <f>Plan!$B$4-41</f>
        <v/>
      </c>
      <c r="B85" s="14" t="n"/>
      <c r="C85" s="14" t="n"/>
      <c r="D85" s="14" t="n"/>
      <c r="E85">
        <f>IF(N(B85)&gt;0,E84+1,0)</f>
        <v/>
      </c>
    </row>
    <row r="86">
      <c r="A86" s="20">
        <f>Plan!$B$4-40</f>
        <v/>
      </c>
      <c r="B86" s="14" t="n"/>
      <c r="C86" s="14" t="n"/>
      <c r="D86" s="14" t="n"/>
      <c r="E86">
        <f>IF(N(B86)&gt;0,E85+1,0)</f>
        <v/>
      </c>
    </row>
    <row r="87">
      <c r="A87" s="20">
        <f>Plan!$B$4-39</f>
        <v/>
      </c>
      <c r="B87" s="14" t="n"/>
      <c r="C87" s="14" t="n"/>
      <c r="D87" s="14" t="n"/>
      <c r="E87">
        <f>IF(N(B87)&gt;0,E86+1,0)</f>
        <v/>
      </c>
    </row>
    <row r="88">
      <c r="A88" s="20">
        <f>Plan!$B$4-38</f>
        <v/>
      </c>
      <c r="B88" s="14" t="n"/>
      <c r="C88" s="14" t="n"/>
      <c r="D88" s="14" t="n"/>
      <c r="E88">
        <f>IF(N(B88)&gt;0,E87+1,0)</f>
        <v/>
      </c>
    </row>
    <row r="89">
      <c r="A89" s="20">
        <f>Plan!$B$4-37</f>
        <v/>
      </c>
      <c r="B89" s="14" t="n"/>
      <c r="C89" s="14" t="n"/>
      <c r="D89" s="14" t="n"/>
      <c r="E89">
        <f>IF(N(B89)&gt;0,E88+1,0)</f>
        <v/>
      </c>
    </row>
    <row r="90">
      <c r="A90" s="20">
        <f>Plan!$B$4-36</f>
        <v/>
      </c>
      <c r="B90" s="14" t="n"/>
      <c r="C90" s="14" t="n"/>
      <c r="D90" s="14" t="n"/>
      <c r="E90">
        <f>IF(N(B90)&gt;0,E89+1,0)</f>
        <v/>
      </c>
    </row>
    <row r="91">
      <c r="A91" s="20">
        <f>Plan!$B$4-35</f>
        <v/>
      </c>
      <c r="B91" s="14" t="n"/>
      <c r="C91" s="14" t="n"/>
      <c r="D91" s="14" t="n"/>
      <c r="E91">
        <f>IF(N(B91)&gt;0,E90+1,0)</f>
        <v/>
      </c>
    </row>
    <row r="92">
      <c r="A92" s="20">
        <f>Plan!$B$4-34</f>
        <v/>
      </c>
      <c r="B92" s="14" t="n"/>
      <c r="C92" s="14" t="n"/>
      <c r="D92" s="14" t="n"/>
      <c r="E92">
        <f>IF(N(B92)&gt;0,E91+1,0)</f>
        <v/>
      </c>
    </row>
    <row r="93">
      <c r="A93" s="20">
        <f>Plan!$B$4-33</f>
        <v/>
      </c>
      <c r="B93" s="14" t="n"/>
      <c r="C93" s="14" t="n"/>
      <c r="D93" s="14" t="n"/>
      <c r="E93">
        <f>IF(N(B93)&gt;0,E92+1,0)</f>
        <v/>
      </c>
    </row>
    <row r="94">
      <c r="A94" s="20">
        <f>Plan!$B$4-32</f>
        <v/>
      </c>
      <c r="B94" s="14" t="n"/>
      <c r="C94" s="14" t="n"/>
      <c r="D94" s="14" t="n"/>
      <c r="E94">
        <f>IF(N(B94)&gt;0,E93+1,0)</f>
        <v/>
      </c>
    </row>
    <row r="95">
      <c r="A95" s="20">
        <f>Plan!$B$4-31</f>
        <v/>
      </c>
      <c r="B95" s="14" t="n"/>
      <c r="C95" s="14" t="n"/>
      <c r="D95" s="14" t="n"/>
      <c r="E95">
        <f>IF(N(B95)&gt;0,E94+1,0)</f>
        <v/>
      </c>
    </row>
    <row r="96">
      <c r="A96" s="20">
        <f>Plan!$B$4-30</f>
        <v/>
      </c>
      <c r="B96" s="14" t="n"/>
      <c r="C96" s="14" t="n"/>
      <c r="D96" s="14" t="n"/>
      <c r="E96">
        <f>IF(N(B96)&gt;0,E95+1,0)</f>
        <v/>
      </c>
    </row>
    <row r="97">
      <c r="A97" s="20">
        <f>Plan!$B$4-29</f>
        <v/>
      </c>
      <c r="B97" s="14" t="n"/>
      <c r="C97" s="14" t="n"/>
      <c r="D97" s="14" t="n"/>
      <c r="E97">
        <f>IF(N(B97)&gt;0,E96+1,0)</f>
        <v/>
      </c>
    </row>
    <row r="98">
      <c r="A98" s="20">
        <f>Plan!$B$4-28</f>
        <v/>
      </c>
      <c r="B98" s="14" t="n"/>
      <c r="C98" s="14" t="n"/>
      <c r="D98" s="14" t="n"/>
      <c r="E98">
        <f>IF(N(B98)&gt;0,E97+1,0)</f>
        <v/>
      </c>
    </row>
    <row r="99">
      <c r="A99" s="20">
        <f>Plan!$B$4-27</f>
        <v/>
      </c>
      <c r="B99" s="14" t="n"/>
      <c r="C99" s="14" t="n"/>
      <c r="D99" s="14" t="n"/>
      <c r="E99">
        <f>IF(N(B99)&gt;0,E98+1,0)</f>
        <v/>
      </c>
    </row>
    <row r="100">
      <c r="A100" s="20">
        <f>Plan!$B$4-26</f>
        <v/>
      </c>
      <c r="B100" s="14" t="n"/>
      <c r="C100" s="14" t="n"/>
      <c r="D100" s="14" t="n"/>
      <c r="E100">
        <f>IF(N(B100)&gt;0,E99+1,0)</f>
        <v/>
      </c>
    </row>
    <row r="101">
      <c r="A101" s="20">
        <f>Plan!$B$4-25</f>
        <v/>
      </c>
      <c r="B101" s="14" t="n"/>
      <c r="C101" s="14" t="n"/>
      <c r="D101" s="14" t="n"/>
      <c r="E101">
        <f>IF(N(B101)&gt;0,E100+1,0)</f>
        <v/>
      </c>
    </row>
    <row r="102">
      <c r="A102" s="20">
        <f>Plan!$B$4-24</f>
        <v/>
      </c>
      <c r="B102" s="14" t="n"/>
      <c r="C102" s="14" t="n"/>
      <c r="D102" s="14" t="n"/>
      <c r="E102">
        <f>IF(N(B102)&gt;0,E101+1,0)</f>
        <v/>
      </c>
    </row>
    <row r="103">
      <c r="A103" s="20">
        <f>Plan!$B$4-23</f>
        <v/>
      </c>
      <c r="B103" s="14" t="n"/>
      <c r="C103" s="14" t="n"/>
      <c r="D103" s="14" t="n"/>
      <c r="E103">
        <f>IF(N(B103)&gt;0,E102+1,0)</f>
        <v/>
      </c>
    </row>
    <row r="104">
      <c r="A104" s="20">
        <f>Plan!$B$4-22</f>
        <v/>
      </c>
      <c r="B104" s="14" t="n"/>
      <c r="C104" s="14" t="n"/>
      <c r="D104" s="14" t="n"/>
      <c r="E104">
        <f>IF(N(B104)&gt;0,E103+1,0)</f>
        <v/>
      </c>
    </row>
    <row r="105">
      <c r="A105" s="20">
        <f>Plan!$B$4-21</f>
        <v/>
      </c>
      <c r="B105" s="14" t="n"/>
      <c r="C105" s="14" t="n"/>
      <c r="D105" s="14" t="n"/>
      <c r="E105">
        <f>IF(N(B105)&gt;0,E104+1,0)</f>
        <v/>
      </c>
    </row>
    <row r="106">
      <c r="A106" s="20">
        <f>Plan!$B$4-20</f>
        <v/>
      </c>
      <c r="B106" s="14" t="n"/>
      <c r="C106" s="14" t="n"/>
      <c r="D106" s="14" t="n"/>
      <c r="E106">
        <f>IF(N(B106)&gt;0,E105+1,0)</f>
        <v/>
      </c>
    </row>
    <row r="107">
      <c r="A107" s="20">
        <f>Plan!$B$4-19</f>
        <v/>
      </c>
      <c r="B107" s="14" t="n"/>
      <c r="C107" s="14" t="n"/>
      <c r="D107" s="14" t="n"/>
      <c r="E107">
        <f>IF(N(B107)&gt;0,E106+1,0)</f>
        <v/>
      </c>
    </row>
    <row r="108">
      <c r="A108" s="20">
        <f>Plan!$B$4-18</f>
        <v/>
      </c>
      <c r="B108" s="14" t="n"/>
      <c r="C108" s="14" t="n"/>
      <c r="D108" s="14" t="n"/>
      <c r="E108">
        <f>IF(N(B108)&gt;0,E107+1,0)</f>
        <v/>
      </c>
    </row>
    <row r="109">
      <c r="A109" s="20">
        <f>Plan!$B$4-17</f>
        <v/>
      </c>
      <c r="B109" s="14" t="n"/>
      <c r="C109" s="14" t="n"/>
      <c r="D109" s="14" t="n"/>
      <c r="E109">
        <f>IF(N(B109)&gt;0,E108+1,0)</f>
        <v/>
      </c>
    </row>
    <row r="110">
      <c r="A110" s="20">
        <f>Plan!$B$4-16</f>
        <v/>
      </c>
      <c r="B110" s="14" t="n"/>
      <c r="C110" s="14" t="n"/>
      <c r="D110" s="14" t="n"/>
      <c r="E110">
        <f>IF(N(B110)&gt;0,E109+1,0)</f>
        <v/>
      </c>
    </row>
    <row r="111">
      <c r="A111" s="20">
        <f>Plan!$B$4-15</f>
        <v/>
      </c>
      <c r="B111" s="14" t="n"/>
      <c r="C111" s="14" t="n"/>
      <c r="D111" s="14" t="n"/>
      <c r="E111">
        <f>IF(N(B111)&gt;0,E110+1,0)</f>
        <v/>
      </c>
    </row>
    <row r="112">
      <c r="A112" s="20">
        <f>Plan!$B$4-14</f>
        <v/>
      </c>
      <c r="B112" s="14" t="n"/>
      <c r="C112" s="14" t="n"/>
      <c r="D112" s="14" t="n"/>
      <c r="E112">
        <f>IF(N(B112)&gt;0,E111+1,0)</f>
        <v/>
      </c>
    </row>
    <row r="113">
      <c r="A113" s="20">
        <f>Plan!$B$4-13</f>
        <v/>
      </c>
      <c r="B113" s="14" t="n"/>
      <c r="C113" s="14" t="n"/>
      <c r="D113" s="14" t="n"/>
      <c r="E113">
        <f>IF(N(B113)&gt;0,E112+1,0)</f>
        <v/>
      </c>
    </row>
    <row r="114">
      <c r="A114" s="20">
        <f>Plan!$B$4-12</f>
        <v/>
      </c>
      <c r="B114" s="14" t="n"/>
      <c r="C114" s="14" t="n"/>
      <c r="D114" s="14" t="n"/>
      <c r="E114">
        <f>IF(N(B114)&gt;0,E113+1,0)</f>
        <v/>
      </c>
    </row>
    <row r="115">
      <c r="A115" s="20">
        <f>Plan!$B$4-11</f>
        <v/>
      </c>
      <c r="B115" s="14" t="n"/>
      <c r="C115" s="14" t="n"/>
      <c r="D115" s="14" t="n"/>
      <c r="E115">
        <f>IF(N(B115)&gt;0,E114+1,0)</f>
        <v/>
      </c>
    </row>
    <row r="116">
      <c r="A116" s="20">
        <f>Plan!$B$4-10</f>
        <v/>
      </c>
      <c r="B116" s="14" t="n"/>
      <c r="C116" s="14" t="n"/>
      <c r="D116" s="14" t="n"/>
      <c r="E116">
        <f>IF(N(B116)&gt;0,E115+1,0)</f>
        <v/>
      </c>
    </row>
    <row r="117">
      <c r="A117" s="20">
        <f>Plan!$B$4-9</f>
        <v/>
      </c>
      <c r="B117" s="14" t="n"/>
      <c r="C117" s="14" t="n"/>
      <c r="D117" s="14" t="n"/>
      <c r="E117">
        <f>IF(N(B117)&gt;0,E116+1,0)</f>
        <v/>
      </c>
    </row>
    <row r="118">
      <c r="A118" s="20">
        <f>Plan!$B$4-8</f>
        <v/>
      </c>
      <c r="B118" s="14" t="n"/>
      <c r="C118" s="14" t="n"/>
      <c r="D118" s="14" t="n"/>
      <c r="E118">
        <f>IF(N(B118)&gt;0,E117+1,0)</f>
        <v/>
      </c>
    </row>
    <row r="119">
      <c r="A119" s="20">
        <f>Plan!$B$4-7</f>
        <v/>
      </c>
      <c r="B119" s="14" t="n"/>
      <c r="C119" s="14" t="n"/>
      <c r="D119" s="14" t="n"/>
      <c r="E119">
        <f>IF(N(B119)&gt;0,E118+1,0)</f>
        <v/>
      </c>
    </row>
    <row r="120">
      <c r="A120" s="20">
        <f>Plan!$B$4-6</f>
        <v/>
      </c>
      <c r="B120" s="14" t="n"/>
      <c r="C120" s="14" t="n"/>
      <c r="D120" s="14" t="n"/>
      <c r="E120">
        <f>IF(N(B120)&gt;0,E119+1,0)</f>
        <v/>
      </c>
    </row>
    <row r="121">
      <c r="A121" s="20">
        <f>Plan!$B$4-5</f>
        <v/>
      </c>
      <c r="B121" s="14" t="n"/>
      <c r="C121" s="14" t="n"/>
      <c r="D121" s="14" t="n"/>
      <c r="E121">
        <f>IF(N(B121)&gt;0,E120+1,0)</f>
        <v/>
      </c>
    </row>
    <row r="122">
      <c r="A122" s="20">
        <f>Plan!$B$4-4</f>
        <v/>
      </c>
      <c r="B122" s="14" t="n"/>
      <c r="C122" s="14" t="n"/>
      <c r="D122" s="14" t="n"/>
      <c r="E122">
        <f>IF(N(B122)&gt;0,E121+1,0)</f>
        <v/>
      </c>
    </row>
    <row r="123">
      <c r="A123" s="20">
        <f>Plan!$B$4-3</f>
        <v/>
      </c>
      <c r="B123" s="14" t="n"/>
      <c r="C123" s="14" t="n"/>
      <c r="D123" s="14" t="n"/>
      <c r="E123">
        <f>IF(N(B123)&gt;0,E122+1,0)</f>
        <v/>
      </c>
    </row>
    <row r="124">
      <c r="A124" s="20">
        <f>Plan!$B$4-2</f>
        <v/>
      </c>
      <c r="B124" s="14" t="n"/>
      <c r="C124" s="14" t="n"/>
      <c r="D124" s="14" t="n"/>
      <c r="E124">
        <f>IF(N(B124)&gt;0,E123+1,0)</f>
        <v/>
      </c>
    </row>
    <row r="125">
      <c r="A125" s="20">
        <f>Plan!$B$4-1</f>
        <v/>
      </c>
      <c r="B125" s="14" t="n"/>
      <c r="C125" s="14" t="n"/>
      <c r="D125" s="14" t="n"/>
      <c r="E125">
        <f>IF(N(B125)&gt;0,E124+1,0)</f>
        <v/>
      </c>
    </row>
    <row r="126">
      <c r="A126" s="20">
        <f>Plan!$B$4-0</f>
        <v/>
      </c>
      <c r="B126" s="14" t="n"/>
      <c r="C126" s="14" t="n"/>
      <c r="D126" s="14" t="n"/>
      <c r="E126">
        <f>IF(N(B126)&gt;0,E125+1,0)</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showGridLines="0" workbookViewId="0">
      <selection activeCell="A1" sqref="A1"/>
    </sheetView>
  </sheetViews>
  <sheetFormatPr baseColWidth="8" defaultRowHeight="15"/>
  <cols>
    <col width="38" customWidth="1" min="1" max="1"/>
    <col width="16" customWidth="1" min="2" max="2"/>
  </cols>
  <sheetData>
    <row r="1">
      <c r="A1" s="1" t="inlineStr">
        <is>
          <t>This week</t>
        </is>
      </c>
      <c r="B1" s="2" t="n"/>
      <c r="C1" s="2" t="n"/>
    </row>
    <row r="2">
      <c r="A2" s="3" t="inlineStr">
        <is>
          <t>Monday to Sunday of the current week</t>
        </is>
      </c>
      <c r="B2" s="2" t="n"/>
      <c r="C2" s="2" t="n"/>
    </row>
    <row r="4">
      <c r="A4" s="6" t="inlineStr">
        <is>
          <t>Week starts</t>
        </is>
      </c>
      <c r="B4" s="20">
        <f>TODAY()-WEEKDAY(TODAY(),3)</f>
        <v/>
      </c>
    </row>
    <row r="5">
      <c r="A5" s="6" t="inlineStr">
        <is>
          <t>Hours studied this week</t>
        </is>
      </c>
      <c r="B5">
        <f>SUMIFS('Daily log'!B6:B126,'Daily log'!A6:A126,"&gt;="&amp;B4,'Daily log'!A6:A126,"&lt;"&amp;B4+7)</f>
        <v/>
      </c>
    </row>
    <row r="6">
      <c r="A6" s="6" t="inlineStr">
        <is>
          <t>Target hours this week</t>
        </is>
      </c>
      <c r="B6">
        <f>Plan!B9*7</f>
        <v/>
      </c>
    </row>
    <row r="7">
      <c r="A7" s="6" t="inlineStr">
        <is>
          <t>Revisions due by Sunday</t>
        </is>
      </c>
      <c r="B7">
        <f>COUNTIFS(Syllabus!F5:F200,"&lt;"&amp;B4+7,Syllabus!C5:C200,"Done")</f>
        <v/>
      </c>
    </row>
    <row r="8">
      <c r="A8" s="6" t="inlineStr">
        <is>
          <t>Topics still not started</t>
        </is>
      </c>
      <c r="B8">
        <f>COUNTIF(Syllabus!C5:C200,"Not started")</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2"/>
  <sheetViews>
    <sheetView showGridLines="0" workbookViewId="0">
      <selection activeCell="A1" sqref="A1"/>
    </sheetView>
  </sheetViews>
  <sheetFormatPr baseColWidth="8" defaultRowHeight="15"/>
  <cols>
    <col width="36" customWidth="1" min="1" max="1"/>
    <col width="11" customWidth="1" min="2" max="2"/>
    <col width="11" customWidth="1" min="3" max="3"/>
    <col width="15" customWidth="1" min="4" max="4"/>
    <col width="10" customWidth="1" min="5" max="5"/>
  </cols>
  <sheetData>
    <row r="1">
      <c r="A1" s="1" t="inlineStr">
        <is>
          <t>Sources and weights</t>
        </is>
      </c>
      <c r="B1" s="2" t="n"/>
      <c r="C1" s="2" t="n"/>
      <c r="D1" s="2" t="n"/>
      <c r="E1" s="2" t="n"/>
    </row>
    <row r="2">
      <c r="A2" s="3" t="inlineStr">
        <is>
          <t>Checked 16 Oct 2026</t>
        </is>
      </c>
      <c r="B2" s="2" t="n"/>
      <c r="C2" s="2" t="n"/>
      <c r="D2" s="2" t="n"/>
      <c r="E2" s="2" t="n"/>
    </row>
    <row r="5">
      <c r="A5" s="21" t="n"/>
      <c r="B5" s="21" t="n"/>
      <c r="C5" s="21" t="n"/>
      <c r="D5" s="21" t="n"/>
      <c r="E5" s="21" t="n"/>
    </row>
    <row r="6"/>
    <row r="7"/>
    <row r="8"/>
    <row r="9"/>
    <row r="10"/>
    <row r="11"/>
    <row r="12"/>
    <row r="13"/>
    <row r="14"/>
    <row r="15"/>
    <row r="16"/>
    <row r="19" ht="32" customHeight="1">
      <c r="A19" s="22" t="inlineStr">
        <is>
          <t>Exam dates and organising institute: IIT Madras press release, iitm.ac.in (GATE 2027: 6, 7, 13, 14, 20, 21 Feb 2027; syllabus revised for 2027).</t>
        </is>
      </c>
    </row>
    <row r="20" ht="32" customHeight="1">
      <c r="A20" s="22" t="inlineStr">
        <is>
          <t>CS 2027 syllabus changes: aspirantmitraa.com summary; the official syllabus is on gate2027.iitm.ac.in (always check it).</t>
        </is>
      </c>
    </row>
    <row r="21" ht="32" customHeight="1">
      <c r="A21" s="22" t="inlineStr">
        <is>
          <t>Subject marks 2023–2025: GO Classes, 'A Strategic Analysis of Subject-wise Weightage Trends in GATE CSE (2023-2025)'. Engineering Mathematics 10 / 13 / 12; General Aptitude 15 every year.</t>
        </is>
      </c>
    </row>
    <row r="22" ht="32" customHeight="1">
      <c r="A22" s="22" t="inlineStr">
        <is>
          <t>Weights guide your time; any subject can carry more marks in 2027.</t>
        </is>
      </c>
    </row>
  </sheetData>
  <mergeCells count="4">
    <mergeCell ref="A21:E21"/>
    <mergeCell ref="A22:E22"/>
    <mergeCell ref="A20:E20"/>
    <mergeCell ref="A19:E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Kalpa Labs</dc:creator>
  <dc:title xmlns:dc="http://purl.org/dc/elements/1.1/">GATE 2027 CS Tracker (kit)</dc:title>
  <dcterms:created xmlns:dcterms="http://purl.org/dc/terms/" xmlns:xsi="http://www.w3.org/2001/XMLSchema-instance" xsi:type="dcterms:W3CDTF">2026-10-16T16:22:12Z</dcterms:created>
  <dcterms:modified xmlns:dcterms="http://purl.org/dc/terms/" xmlns:xsi="http://www.w3.org/2001/XMLSchema-instance" xsi:type="dcterms:W3CDTF">2026-10-16T16:22:12Z</dcterms:modified>
</cp:coreProperties>
</file>