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lan" sheetId="2" state="visible" r:id="rId2"/>
    <sheet xmlns:r="http://schemas.openxmlformats.org/officeDocument/2006/relationships" name="Syllabus"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dd mmm yyyy"/>
  </numFmts>
  <fonts count="8">
    <font>
      <name val="Calibri"/>
      <family val="2"/>
      <color theme="1"/>
      <sz val="11"/>
      <scheme val="minor"/>
    </font>
    <font>
      <name val="Arial"/>
      <b val="1"/>
      <color rgb="00FFFFFF"/>
      <sz val="16"/>
    </font>
    <font>
      <name val="Arial"/>
      <color rgb="00B9BDE0"/>
      <sz val="10"/>
    </font>
    <font>
      <name val="Arial"/>
      <b val="1"/>
      <color rgb="001C2463"/>
      <sz val="11"/>
    </font>
    <font>
      <name val="Arial"/>
      <color rgb="00191C33"/>
      <sz val="11"/>
    </font>
    <font>
      <name val="Arial"/>
      <b val="1"/>
      <color rgb="00B23A2C"/>
      <sz val="22"/>
    </font>
    <font>
      <name val="Arial"/>
      <b val="1"/>
    </font>
    <font>
      <name val="Arial"/>
      <b val="1"/>
      <color rgb="00FFFFFF"/>
    </font>
  </fonts>
  <fills count="5">
    <fill>
      <patternFill/>
    </fill>
    <fill>
      <patternFill patternType="gray125"/>
    </fill>
    <fill>
      <patternFill patternType="solid">
        <fgColor rgb="001C2463"/>
      </patternFill>
    </fill>
    <fill>
      <patternFill patternType="solid">
        <fgColor rgb="00FFF6DD"/>
      </patternFill>
    </fill>
    <fill>
      <patternFill patternType="solid">
        <fgColor rgb="00E6E6F1"/>
      </patternFill>
    </fill>
  </fills>
  <borders count="2">
    <border>
      <left/>
      <right/>
      <top/>
      <bottom/>
      <diagonal/>
    </border>
    <border>
      <left style="thin">
        <color rgb="00DCDBE7"/>
      </left>
      <right style="thin">
        <color rgb="00DCDBE7"/>
      </right>
      <top style="thin">
        <color rgb="00DCDBE7"/>
      </top>
      <bottom style="thin">
        <color rgb="00DCDBE7"/>
      </bottom>
    </border>
  </borders>
  <cellStyleXfs count="1">
    <xf numFmtId="0" fontId="0" fillId="0" borderId="0"/>
  </cellStyleXfs>
  <cellXfs count="16">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0" borderId="0" applyAlignment="1" pivotButton="0" quotePrefix="0" xfId="0">
      <alignment wrapText="1"/>
    </xf>
    <xf numFmtId="0" fontId="4" fillId="0" borderId="0" applyAlignment="1" pivotButton="0" quotePrefix="0" xfId="0">
      <alignment wrapText="1"/>
    </xf>
    <xf numFmtId="0" fontId="6" fillId="0" borderId="0" pivotButton="0" quotePrefix="0" xfId="0"/>
    <xf numFmtId="165" fontId="0" fillId="3" borderId="1" pivotButton="0" quotePrefix="0" xfId="0"/>
    <xf numFmtId="165" fontId="0" fillId="0" borderId="0" pivotButton="0" quotePrefix="0" xfId="0"/>
    <xf numFmtId="0" fontId="5" fillId="0" borderId="0" pivotButton="0" quotePrefix="0" xfId="0"/>
    <xf numFmtId="9" fontId="0" fillId="0" borderId="0" pivotButton="0" quotePrefix="0" xfId="0"/>
    <xf numFmtId="0" fontId="7" fillId="2" borderId="0" applyAlignment="1" pivotButton="0" quotePrefix="0" xfId="0">
      <alignment vertical="center" wrapText="1"/>
    </xf>
    <xf numFmtId="0" fontId="0" fillId="3" borderId="0" pivotButton="0" quotePrefix="0" xfId="0"/>
    <xf numFmtId="0" fontId="0" fillId="4" borderId="0" pivotButton="0" quotePrefix="0" xfId="0"/>
    <xf numFmtId="0" fontId="7" fillId="0" borderId="0" applyAlignment="1" pivotButton="0" quotePrefix="0" xfId="0">
      <alignment vertical="center" wrapText="1"/>
    </xf>
    <xf numFmtId="0" fontId="0" fillId="0" borderId="0" applyAlignment="1" pivotButton="0" quotePrefix="0" xfId="0">
      <alignment wrapText="1"/>
    </xf>
  </cellXfs>
  <cellStyles count="1">
    <cellStyle name="Normal" xfId="0" builtinId="0" hidden="0"/>
  </cellStyles>
  <dxfs count="1">
    <dxf>
      <font>
        <b val="1"/>
        <color rgb="0023804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100" customWidth="1" min="1" max="1"/>
  </cols>
  <sheetData>
    <row r="1">
      <c r="A1" s="1" t="inlineStr">
        <is>
          <t>GATE 2027 · CS · Final-120-Days Tracker</t>
        </is>
      </c>
      <c r="B1" s="2" t="n"/>
      <c r="C1" s="2" t="n"/>
      <c r="D1" s="2" t="n"/>
      <c r="E1" s="2" t="n"/>
      <c r="F1" s="2" t="n"/>
    </row>
    <row r="2">
      <c r="A2" s="3" t="inlineStr">
        <is>
          <t>Kalpa Labs · Lite v1.0 · free</t>
        </is>
      </c>
      <c r="B2" s="2" t="n"/>
      <c r="C2" s="2" t="n"/>
      <c r="D2" s="2" t="n"/>
      <c r="E2" s="2" t="n"/>
      <c r="F2" s="2" t="n"/>
    </row>
    <row r="4">
      <c r="A4" s="4" t="inlineStr">
        <is>
          <t>How to use</t>
        </is>
      </c>
    </row>
    <row r="5">
      <c r="A5" s="5" t="inlineStr">
        <is>
          <t>1. Plan tab: pick your exam date (it will be on your admit card). The countdown and plan update every day.</t>
        </is>
      </c>
    </row>
    <row r="6">
      <c r="A6" s="5" t="inlineStr">
        <is>
          <t>2. Syllabus tab: mark each topic Not started / Learning / Done.</t>
        </is>
      </c>
    </row>
    <row r="7">
      <c r="A7" s="5" t="inlineStr"/>
    </row>
    <row r="8">
      <c r="A8" s="5" t="inlineStr">
        <is>
          <t>Not an official GATE product. Dates and syllabus: gate2027.iitm.ac.in. Yellow cells are yours; don't type over white ones.</t>
        </is>
      </c>
    </row>
    <row r="9">
      <c r="A9" s="5" t="inlineStr">
        <is>
          <t>Kalpa Labs · Udyam UDYAM-TS-02-0382711 · aakhiil51458@gmail.com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40" customWidth="1" min="1" max="1"/>
    <col width="22" customWidth="1" min="2" max="2"/>
  </cols>
  <sheetData>
    <row r="1">
      <c r="A1" s="1" t="inlineStr">
        <is>
          <t>Countdown and plan</t>
        </is>
      </c>
      <c r="B1" s="2" t="n"/>
      <c r="C1" s="2" t="n"/>
      <c r="D1" s="2" t="n"/>
    </row>
    <row r="2">
      <c r="A2" s="3" t="inlineStr">
        <is>
          <t>Exam days: 6, 7, 13, 14, 20, 21 Feb 2027 (IIT Madras)</t>
        </is>
      </c>
      <c r="B2" s="2" t="n"/>
      <c r="C2" s="2" t="n"/>
      <c r="D2" s="2" t="n"/>
    </row>
    <row r="4">
      <c r="A4" s="6" t="inlineStr">
        <is>
          <t>My exam date</t>
        </is>
      </c>
      <c r="B4" s="7" t="n">
        <v>46424</v>
      </c>
    </row>
    <row r="5">
      <c r="A5" s="6" t="inlineStr">
        <is>
          <t>Today</t>
        </is>
      </c>
      <c r="B5" s="8">
        <f>TODAY()</f>
        <v/>
      </c>
    </row>
    <row r="6">
      <c r="A6" s="6" t="inlineStr">
        <is>
          <t>Days left</t>
        </is>
      </c>
      <c r="B6" s="9">
        <f>MAX(0,B4-B5)</f>
        <v/>
      </c>
    </row>
    <row r="7">
      <c r="A7" s="6" t="inlineStr">
        <is>
          <t>Topics done</t>
        </is>
      </c>
      <c r="B7">
        <f>COUNTIF(Syllabus!C:C,"Done")&amp;" of "&amp;COUNTA(Syllabus!B5:B200)</f>
        <v/>
      </c>
    </row>
    <row r="8">
      <c r="A8" s="6" t="inlineStr">
        <is>
          <t>Syllabus done</t>
        </is>
      </c>
      <c r="B8" s="10">
        <f>IF(COUNTA(Syllabus!B5:B200)=0,0,COUNTIF(Syllabus!C:C,"Done")/COUNTA(Syllabus!B5:B200))</f>
        <v/>
      </c>
    </row>
    <row r="9">
      <c r="A9" s="6" t="n"/>
    </row>
    <row r="10">
      <c r="A10" s="6" t="n"/>
    </row>
    <row r="11">
      <c r="A11" s="6" t="n"/>
    </row>
    <row r="12">
      <c r="A12" s="6" t="n"/>
    </row>
  </sheetData>
  <dataValidations count="1">
    <dataValidation sqref="B4" showDropDown="0" showInputMessage="0" showErrorMessage="1" allowBlank="0" errorTitle="GATE 2027 dates" error="GATE 2027 is on 6, 7, 13, 14, 20 or 21 Feb 2027" type="date" operator="between">
      <formula1>DATE(2027,2,6)</formula1>
      <formula2>DATE(2027,2,21)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4" customWidth="1" min="3" max="3"/>
    <col width="13" customWidth="1" min="4" max="4"/>
    <col width="11" customWidth="1" min="5" max="5"/>
    <col width="14" customWidth="1" min="6" max="6"/>
    <col width="9" customWidth="1" min="7" max="7"/>
  </cols>
  <sheetData>
    <row r="1">
      <c r="A1" s="1" t="inlineStr">
        <is>
          <t>Syllabus checklist · GATE 2027 CS</t>
        </is>
      </c>
      <c r="B1" s="2" t="n"/>
      <c r="C1" s="2" t="n"/>
      <c r="D1" s="2" t="n"/>
      <c r="E1" s="2" t="n"/>
      <c r="F1" s="2" t="n"/>
      <c r="G1" s="2" t="n"/>
    </row>
    <row r="2">
      <c r="A2" s="3" t="inlineStr">
        <is>
          <t>Revised syllabus applied (2027 changes marked) · check gate2027.iitm.ac.in</t>
        </is>
      </c>
      <c r="B2" s="2" t="n"/>
      <c r="C2" s="2" t="n"/>
      <c r="D2" s="2" t="n"/>
      <c r="E2" s="2" t="n"/>
      <c r="F2" s="2" t="n"/>
      <c r="G2" s="2" t="n"/>
    </row>
    <row r="4">
      <c r="A4" s="11" t="inlineStr">
        <is>
          <t>Subject</t>
        </is>
      </c>
      <c r="B4" s="11" t="inlineStr">
        <is>
          <t>Topic</t>
        </is>
      </c>
      <c r="C4" s="11" t="inlineStr">
        <is>
          <t>Status</t>
        </is>
      </c>
      <c r="D4" s="11" t="inlineStr">
        <is>
          <t>Done on</t>
        </is>
      </c>
      <c r="E4" s="11" t="inlineStr">
        <is>
          <t>Revisions done</t>
        </is>
      </c>
      <c r="F4" s="11" t="inlineStr">
        <is>
          <t>Next revision</t>
        </is>
      </c>
      <c r="G4" s="11" t="inlineStr">
        <is>
          <t>Due?</t>
        </is>
      </c>
    </row>
    <row r="5">
      <c r="A5" t="inlineStr">
        <is>
          <t>Engineering Mathematics</t>
        </is>
      </c>
      <c r="B5" t="inlineStr">
        <is>
          <t>Discrete Mathematics: propositional and first-order logic</t>
        </is>
      </c>
      <c r="C5" s="12" t="inlineStr">
        <is>
          <t>Not started</t>
        </is>
      </c>
    </row>
    <row r="6">
      <c r="A6" s="13" t="inlineStr">
        <is>
          <t>Engineering Mathematics</t>
        </is>
      </c>
      <c r="B6" s="13" t="inlineStr">
        <is>
          <t>Sets, relations, functions, partial orders, lattices</t>
        </is>
      </c>
      <c r="C6" s="12" t="inlineStr">
        <is>
          <t>Not started</t>
        </is>
      </c>
    </row>
    <row r="7">
      <c r="A7" t="inlineStr">
        <is>
          <t>Engineering Mathematics</t>
        </is>
      </c>
      <c r="B7" t="inlineStr">
        <is>
          <t>Monoids, groups</t>
        </is>
      </c>
      <c r="C7" s="12" t="inlineStr">
        <is>
          <t>Not started</t>
        </is>
      </c>
    </row>
    <row r="8">
      <c r="A8" s="13" t="inlineStr">
        <is>
          <t>Engineering Mathematics</t>
        </is>
      </c>
      <c r="B8" s="13" t="inlineStr">
        <is>
          <t>Graphs: connectivity, matching, colouring</t>
        </is>
      </c>
      <c r="C8" s="12" t="inlineStr">
        <is>
          <t>Not started</t>
        </is>
      </c>
    </row>
    <row r="9">
      <c r="A9" t="inlineStr">
        <is>
          <t>Engineering Mathematics</t>
        </is>
      </c>
      <c r="B9" t="inlineStr">
        <is>
          <t>Combinatorics: counting, recurrences, generating functions</t>
        </is>
      </c>
      <c r="C9" s="12" t="inlineStr">
        <is>
          <t>Not started</t>
        </is>
      </c>
    </row>
    <row r="10">
      <c r="A10" s="13" t="inlineStr">
        <is>
          <t>Engineering Mathematics</t>
        </is>
      </c>
      <c r="B10" s="13" t="inlineStr">
        <is>
          <t>Linear Algebra: matrices, determinants, systems of linear equations</t>
        </is>
      </c>
      <c r="C10" s="12" t="inlineStr">
        <is>
          <t>Not started</t>
        </is>
      </c>
    </row>
    <row r="11">
      <c r="A11" t="inlineStr">
        <is>
          <t>Engineering Mathematics</t>
        </is>
      </c>
      <c r="B11" t="inlineStr">
        <is>
          <t>Eigenvalues and eigenvectors, LU decomposition</t>
        </is>
      </c>
      <c r="C11" s="12" t="inlineStr">
        <is>
          <t>Not started</t>
        </is>
      </c>
    </row>
    <row r="12">
      <c r="A12" s="13" t="inlineStr">
        <is>
          <t>Engineering Mathematics</t>
        </is>
      </c>
      <c r="B12" s="13" t="inlineStr">
        <is>
          <t>Calculus: limits, continuity, differentiability, maxima and minima, mean value theorem, integration</t>
        </is>
      </c>
      <c r="C12" s="12" t="inlineStr">
        <is>
          <t>Not started</t>
        </is>
      </c>
    </row>
    <row r="13">
      <c r="A13" t="inlineStr">
        <is>
          <t>Engineering Mathematics</t>
        </is>
      </c>
      <c r="B13" t="inlineStr">
        <is>
          <t>Probability: random variables, uniform, normal, exponential, Poisson, binomial</t>
        </is>
      </c>
      <c r="C13" s="12" t="inlineStr">
        <is>
          <t>Not started</t>
        </is>
      </c>
    </row>
    <row r="14">
      <c r="A14" s="13" t="inlineStr">
        <is>
          <t>Engineering Mathematics</t>
        </is>
      </c>
      <c r="B14" s="13" t="inlineStr">
        <is>
          <t>Mean, median, mode, standard deviation; conditional probability, Bayes</t>
        </is>
      </c>
      <c r="C14" s="12" t="inlineStr">
        <is>
          <t>Not started</t>
        </is>
      </c>
    </row>
    <row r="15">
      <c r="A15" t="inlineStr">
        <is>
          <t>Digital Logic</t>
        </is>
      </c>
      <c r="B15" t="inlineStr">
        <is>
          <t>Boolean algebra</t>
        </is>
      </c>
      <c r="C15" s="12" t="inlineStr">
        <is>
          <t>Not started</t>
        </is>
      </c>
    </row>
    <row r="16">
      <c r="A16" s="13" t="inlineStr">
        <is>
          <t>Digital Logic</t>
        </is>
      </c>
      <c r="B16" s="13" t="inlineStr">
        <is>
          <t>Combinational circuits</t>
        </is>
      </c>
      <c r="C16" s="12" t="inlineStr">
        <is>
          <t>Not started</t>
        </is>
      </c>
    </row>
    <row r="17">
      <c r="A17" t="inlineStr">
        <is>
          <t>Digital Logic</t>
        </is>
      </c>
      <c r="B17" t="inlineStr">
        <is>
          <t>Sequential circuits</t>
        </is>
      </c>
      <c r="C17" s="12" t="inlineStr">
        <is>
          <t>Not started</t>
        </is>
      </c>
    </row>
    <row r="18">
      <c r="A18" s="13" t="inlineStr">
        <is>
          <t>Digital Logic</t>
        </is>
      </c>
      <c r="B18" s="13" t="inlineStr">
        <is>
          <t>Minimisation</t>
        </is>
      </c>
      <c r="C18" s="12" t="inlineStr">
        <is>
          <t>Not started</t>
        </is>
      </c>
    </row>
    <row r="19">
      <c r="A19" t="inlineStr">
        <is>
          <t>Digital Logic</t>
        </is>
      </c>
      <c r="B19" t="inlineStr">
        <is>
          <t>Number representations and computer arithmetic (fixed and floating point)</t>
        </is>
      </c>
      <c r="C19" s="12" t="inlineStr">
        <is>
          <t>Not started</t>
        </is>
      </c>
    </row>
    <row r="20">
      <c r="A20" s="13" t="inlineStr">
        <is>
          <t>Computer Organization and Architecture</t>
        </is>
      </c>
      <c r="B20" s="13" t="inlineStr">
        <is>
          <t>Machine instructions and addressing modes</t>
        </is>
      </c>
      <c r="C20" s="12" t="inlineStr">
        <is>
          <t>Not started</t>
        </is>
      </c>
    </row>
    <row r="21">
      <c r="A21" t="inlineStr">
        <is>
          <t>Computer Organization and Architecture</t>
        </is>
      </c>
      <c r="B21" t="inlineStr">
        <is>
          <t>ALU, data-path and control unit</t>
        </is>
      </c>
      <c r="C21" s="12" t="inlineStr">
        <is>
          <t>Not started</t>
        </is>
      </c>
    </row>
    <row r="22">
      <c r="A22" s="13" t="inlineStr">
        <is>
          <t>Computer Organization and Architecture</t>
        </is>
      </c>
      <c r="B22" s="13" t="inlineStr">
        <is>
          <t>Hardwired control design (2027)</t>
        </is>
      </c>
      <c r="C22" s="12" t="inlineStr">
        <is>
          <t>Not started</t>
        </is>
      </c>
    </row>
    <row r="23">
      <c r="A23" t="inlineStr">
        <is>
          <t>Computer Organization and Architecture</t>
        </is>
      </c>
      <c r="B23" t="inlineStr">
        <is>
          <t>Microprogrammed control design (2027)</t>
        </is>
      </c>
      <c r="C23" s="12" t="inlineStr">
        <is>
          <t>Not started</t>
        </is>
      </c>
    </row>
    <row r="24">
      <c r="A24" s="13" t="inlineStr">
        <is>
          <t>Computer Organization and Architecture</t>
        </is>
      </c>
      <c r="B24" s="13" t="inlineStr">
        <is>
          <t>Instruction pipelining, pipeline hazards</t>
        </is>
      </c>
      <c r="C24" s="12" t="inlineStr">
        <is>
          <t>Not started</t>
        </is>
      </c>
    </row>
    <row r="25">
      <c r="A25" t="inlineStr">
        <is>
          <t>Computer Organization and Architecture</t>
        </is>
      </c>
      <c r="B25" t="inlineStr">
        <is>
          <t>Memory hierarchy: cache memory</t>
        </is>
      </c>
      <c r="C25" s="12" t="inlineStr">
        <is>
          <t>Not started</t>
        </is>
      </c>
    </row>
    <row r="26">
      <c r="A26" s="13" t="inlineStr">
        <is>
          <t>Computer Organization and Architecture</t>
        </is>
      </c>
      <c r="B26" s="13" t="inlineStr">
        <is>
          <t>Cache memory mapping (2027)</t>
        </is>
      </c>
      <c r="C26" s="12" t="inlineStr">
        <is>
          <t>Not started</t>
        </is>
      </c>
    </row>
    <row r="27">
      <c r="A27" t="inlineStr">
        <is>
          <t>Computer Organization and Architecture</t>
        </is>
      </c>
      <c r="B27" t="inlineStr">
        <is>
          <t>I/O interface (interrupt and DMA mode)</t>
        </is>
      </c>
      <c r="C27" s="12" t="inlineStr">
        <is>
          <t>Not started</t>
        </is>
      </c>
    </row>
    <row r="28">
      <c r="A28" s="13" t="inlineStr">
        <is>
          <t>Programming and Data Structures</t>
        </is>
      </c>
      <c r="B28" s="13" t="inlineStr">
        <is>
          <t>Programming in C</t>
        </is>
      </c>
      <c r="C28" s="12" t="inlineStr">
        <is>
          <t>Not started</t>
        </is>
      </c>
    </row>
    <row r="29">
      <c r="A29" t="inlineStr">
        <is>
          <t>Programming and Data Structures</t>
        </is>
      </c>
      <c r="B29" t="inlineStr">
        <is>
          <t>Recursion</t>
        </is>
      </c>
      <c r="C29" s="12" t="inlineStr">
        <is>
          <t>Not started</t>
        </is>
      </c>
    </row>
    <row r="30">
      <c r="A30" s="13" t="inlineStr">
        <is>
          <t>Programming and Data Structures</t>
        </is>
      </c>
      <c r="B30" s="13" t="inlineStr">
        <is>
          <t>Arrays, stacks, queues</t>
        </is>
      </c>
      <c r="C30" s="12" t="inlineStr">
        <is>
          <t>Not started</t>
        </is>
      </c>
    </row>
    <row r="31">
      <c r="A31" t="inlineStr">
        <is>
          <t>Programming and Data Structures</t>
        </is>
      </c>
      <c r="B31" t="inlineStr">
        <is>
          <t>Linked lists</t>
        </is>
      </c>
      <c r="C31" s="12" t="inlineStr">
        <is>
          <t>Not started</t>
        </is>
      </c>
    </row>
    <row r="32">
      <c r="A32" s="13" t="inlineStr">
        <is>
          <t>Programming and Data Structures</t>
        </is>
      </c>
      <c r="B32" s="13" t="inlineStr">
        <is>
          <t>Trees, binary search trees, binary heaps</t>
        </is>
      </c>
      <c r="C32" s="12" t="inlineStr">
        <is>
          <t>Not started</t>
        </is>
      </c>
    </row>
    <row r="33">
      <c r="A33" t="inlineStr">
        <is>
          <t>Programming and Data Structures</t>
        </is>
      </c>
      <c r="B33" t="inlineStr">
        <is>
          <t>Graphs</t>
        </is>
      </c>
      <c r="C33" s="12" t="inlineStr">
        <is>
          <t>Not started</t>
        </is>
      </c>
    </row>
    <row r="34">
      <c r="A34" s="13" t="inlineStr">
        <is>
          <t>Algorithms</t>
        </is>
      </c>
      <c r="B34" s="13" t="inlineStr">
        <is>
          <t>Searching, sorting, hashing</t>
        </is>
      </c>
      <c r="C34" s="12" t="inlineStr">
        <is>
          <t>Not started</t>
        </is>
      </c>
    </row>
    <row r="35">
      <c r="A35" t="inlineStr">
        <is>
          <t>Algorithms</t>
        </is>
      </c>
      <c r="B35" t="inlineStr">
        <is>
          <t>Asymptotic worst-case time and space complexity</t>
        </is>
      </c>
      <c r="C35" s="12" t="inlineStr">
        <is>
          <t>Not started</t>
        </is>
      </c>
    </row>
    <row r="36">
      <c r="A36" s="13" t="inlineStr">
        <is>
          <t>Algorithms</t>
        </is>
      </c>
      <c r="B36" s="13" t="inlineStr">
        <is>
          <t>Greedy</t>
        </is>
      </c>
      <c r="C36" s="12" t="inlineStr">
        <is>
          <t>Not started</t>
        </is>
      </c>
    </row>
    <row r="37">
      <c r="A37" t="inlineStr">
        <is>
          <t>Algorithms</t>
        </is>
      </c>
      <c r="B37" t="inlineStr">
        <is>
          <t>Divide-and-conquer</t>
        </is>
      </c>
      <c r="C37" s="12" t="inlineStr">
        <is>
          <t>Not started</t>
        </is>
      </c>
    </row>
    <row r="38">
      <c r="A38" s="13" t="inlineStr">
        <is>
          <t>Algorithms</t>
        </is>
      </c>
      <c r="B38" s="13" t="inlineStr">
        <is>
          <t>Dynamic programming</t>
        </is>
      </c>
      <c r="C38" s="12" t="inlineStr">
        <is>
          <t>Not started</t>
        </is>
      </c>
    </row>
    <row r="39">
      <c r="A39" t="inlineStr">
        <is>
          <t>Algorithms</t>
        </is>
      </c>
      <c r="B39" t="inlineStr">
        <is>
          <t>Graph traversals, minimum spanning trees, shortest paths</t>
        </is>
      </c>
      <c r="C39" s="12" t="inlineStr">
        <is>
          <t>Not started</t>
        </is>
      </c>
    </row>
    <row r="40">
      <c r="A40" s="13" t="inlineStr">
        <is>
          <t>Theory of Computation</t>
        </is>
      </c>
      <c r="B40" s="13" t="inlineStr">
        <is>
          <t>Regular expressions and finite automata</t>
        </is>
      </c>
      <c r="C40" s="12" t="inlineStr">
        <is>
          <t>Not started</t>
        </is>
      </c>
    </row>
    <row r="41">
      <c r="A41" t="inlineStr">
        <is>
          <t>Theory of Computation</t>
        </is>
      </c>
      <c r="B41" t="inlineStr">
        <is>
          <t>Context-free grammars and push-down automata</t>
        </is>
      </c>
      <c r="C41" s="12" t="inlineStr">
        <is>
          <t>Not started</t>
        </is>
      </c>
    </row>
    <row r="42">
      <c r="A42" s="13" t="inlineStr">
        <is>
          <t>Theory of Computation</t>
        </is>
      </c>
      <c r="B42" s="13" t="inlineStr">
        <is>
          <t>Regular and context-free languages, pumping lemma</t>
        </is>
      </c>
      <c r="C42" s="12" t="inlineStr">
        <is>
          <t>Not started</t>
        </is>
      </c>
    </row>
    <row r="43">
      <c r="A43" t="inlineStr">
        <is>
          <t>Theory of Computation</t>
        </is>
      </c>
      <c r="B43" t="inlineStr">
        <is>
          <t>Turing machines and undecidability</t>
        </is>
      </c>
      <c r="C43" s="12" t="inlineStr">
        <is>
          <t>Not started</t>
        </is>
      </c>
    </row>
    <row r="44">
      <c r="A44" s="13" t="inlineStr">
        <is>
          <t>Compiler Design</t>
        </is>
      </c>
      <c r="B44" s="13" t="inlineStr">
        <is>
          <t>Lexical analysis, parsing, syntax-directed translation</t>
        </is>
      </c>
      <c r="C44" s="12" t="inlineStr">
        <is>
          <t>Not started</t>
        </is>
      </c>
    </row>
    <row r="45">
      <c r="A45" t="inlineStr">
        <is>
          <t>Compiler Design</t>
        </is>
      </c>
      <c r="B45" t="inlineStr">
        <is>
          <t>Runtime environments</t>
        </is>
      </c>
      <c r="C45" s="12" t="inlineStr">
        <is>
          <t>Not started</t>
        </is>
      </c>
    </row>
    <row r="46">
      <c r="A46" s="13" t="inlineStr">
        <is>
          <t>Compiler Design</t>
        </is>
      </c>
      <c r="B46" s="13" t="inlineStr">
        <is>
          <t>Intermediate code generation</t>
        </is>
      </c>
      <c r="C46" s="12" t="inlineStr">
        <is>
          <t>Not started</t>
        </is>
      </c>
    </row>
    <row r="47">
      <c r="A47" t="inlineStr">
        <is>
          <t>Compiler Design</t>
        </is>
      </c>
      <c r="B47" t="inlineStr">
        <is>
          <t>Local optimisation</t>
        </is>
      </c>
      <c r="C47" s="12" t="inlineStr">
        <is>
          <t>Not started</t>
        </is>
      </c>
    </row>
    <row r="48">
      <c r="A48" s="13" t="inlineStr">
        <is>
          <t>Compiler Design</t>
        </is>
      </c>
      <c r="B48" s="13" t="inlineStr">
        <is>
          <t>Data flow analyses: constant propagation, liveness analysis, common subexpression elimination</t>
        </is>
      </c>
      <c r="C48" s="12" t="inlineStr">
        <is>
          <t>Not started</t>
        </is>
      </c>
    </row>
    <row r="49">
      <c r="A49" t="inlineStr">
        <is>
          <t>Operating System</t>
        </is>
      </c>
      <c r="B49" t="inlineStr">
        <is>
          <t>System calls, processes, threads, inter-process communication</t>
        </is>
      </c>
      <c r="C49" s="12" t="inlineStr">
        <is>
          <t>Not started</t>
        </is>
      </c>
    </row>
    <row r="50">
      <c r="A50" s="13" t="inlineStr">
        <is>
          <t>Operating System</t>
        </is>
      </c>
      <c r="B50" s="13" t="inlineStr">
        <is>
          <t>Concurrency and synchronisation</t>
        </is>
      </c>
      <c r="C50" s="12" t="inlineStr">
        <is>
          <t>Not started</t>
        </is>
      </c>
    </row>
    <row r="51">
      <c r="A51" t="inlineStr">
        <is>
          <t>Operating System</t>
        </is>
      </c>
      <c r="B51" t="inlineStr">
        <is>
          <t>Deadlock</t>
        </is>
      </c>
      <c r="C51" s="12" t="inlineStr">
        <is>
          <t>Not started</t>
        </is>
      </c>
    </row>
    <row r="52">
      <c r="A52" s="13" t="inlineStr">
        <is>
          <t>Operating System</t>
        </is>
      </c>
      <c r="B52" s="13" t="inlineStr">
        <is>
          <t>CPU and I/O scheduling</t>
        </is>
      </c>
      <c r="C52" s="12" t="inlineStr">
        <is>
          <t>Not started</t>
        </is>
      </c>
    </row>
    <row r="53">
      <c r="A53" t="inlineStr">
        <is>
          <t>Operating System</t>
        </is>
      </c>
      <c r="B53" t="inlineStr">
        <is>
          <t>Memory management and virtual memory</t>
        </is>
      </c>
      <c r="C53" s="12" t="inlineStr">
        <is>
          <t>Not started</t>
        </is>
      </c>
    </row>
    <row r="54">
      <c r="A54" s="13" t="inlineStr">
        <is>
          <t>Operating System</t>
        </is>
      </c>
      <c r="B54" s="13" t="inlineStr">
        <is>
          <t>File systems</t>
        </is>
      </c>
      <c r="C54" s="12" t="inlineStr">
        <is>
          <t>Not started</t>
        </is>
      </c>
    </row>
    <row r="55">
      <c r="A55" t="inlineStr">
        <is>
          <t>Databases</t>
        </is>
      </c>
      <c r="B55" t="inlineStr">
        <is>
          <t>ER-model</t>
        </is>
      </c>
      <c r="C55" s="12" t="inlineStr">
        <is>
          <t>Not started</t>
        </is>
      </c>
    </row>
    <row r="56">
      <c r="A56" s="13" t="inlineStr">
        <is>
          <t>Databases</t>
        </is>
      </c>
      <c r="B56" s="13" t="inlineStr">
        <is>
          <t>Relational model: relational algebra, tuple calculus, SQL</t>
        </is>
      </c>
      <c r="C56" s="12" t="inlineStr">
        <is>
          <t>Not started</t>
        </is>
      </c>
    </row>
    <row r="57">
      <c r="A57" t="inlineStr">
        <is>
          <t>Databases</t>
        </is>
      </c>
      <c r="B57" t="inlineStr">
        <is>
          <t>Integrity constraints, normal forms</t>
        </is>
      </c>
      <c r="C57" s="12" t="inlineStr">
        <is>
          <t>Not started</t>
        </is>
      </c>
    </row>
    <row r="58">
      <c r="A58" s="13" t="inlineStr">
        <is>
          <t>Databases</t>
        </is>
      </c>
      <c r="B58" s="13" t="inlineStr">
        <is>
          <t>File organisation, indexing (B and B+ trees)</t>
        </is>
      </c>
      <c r="C58" s="12" t="inlineStr">
        <is>
          <t>Not started</t>
        </is>
      </c>
    </row>
    <row r="59">
      <c r="A59" t="inlineStr">
        <is>
          <t>Databases</t>
        </is>
      </c>
      <c r="B59" t="inlineStr">
        <is>
          <t>Transactions and concurrency control</t>
        </is>
      </c>
      <c r="C59" s="12" t="inlineStr">
        <is>
          <t>Not started</t>
        </is>
      </c>
    </row>
    <row r="60">
      <c r="A60" s="13" t="inlineStr">
        <is>
          <t>Computer Networks</t>
        </is>
      </c>
      <c r="B60" s="13" t="inlineStr">
        <is>
          <t>Packet, circuit and virtual circuit switching</t>
        </is>
      </c>
      <c r="C60" s="12" t="inlineStr">
        <is>
          <t>Not started</t>
        </is>
      </c>
    </row>
    <row r="61">
      <c r="A61" t="inlineStr">
        <is>
          <t>Computer Networks</t>
        </is>
      </c>
      <c r="B61" t="inlineStr">
        <is>
          <t>Data link layer: framing, error detection, MAC, Ethernet bridging</t>
        </is>
      </c>
      <c r="C61" s="12" t="inlineStr">
        <is>
          <t>Not started</t>
        </is>
      </c>
    </row>
    <row r="62">
      <c r="A62" s="13" t="inlineStr">
        <is>
          <t>Computer Networks</t>
        </is>
      </c>
      <c r="B62" s="13" t="inlineStr">
        <is>
          <t>Routing protocols: shortest path, flooding, distance vector, link state</t>
        </is>
      </c>
      <c r="C62" s="12" t="inlineStr">
        <is>
          <t>Not started</t>
        </is>
      </c>
    </row>
    <row r="63">
      <c r="A63" t="inlineStr">
        <is>
          <t>Computer Networks</t>
        </is>
      </c>
      <c r="B63" t="inlineStr">
        <is>
          <t>Fragmentation and IP addressing, IPv4, CIDR notation</t>
        </is>
      </c>
      <c r="C63" s="12" t="inlineStr">
        <is>
          <t>Not started</t>
        </is>
      </c>
    </row>
    <row r="64">
      <c r="A64" s="13" t="inlineStr">
        <is>
          <t>Computer Networks</t>
        </is>
      </c>
      <c r="B64" s="13" t="inlineStr">
        <is>
          <t>Transport layer: flow control and congestion control, UDP, TCP, sockets</t>
        </is>
      </c>
      <c r="C64" s="12" t="inlineStr">
        <is>
          <t>Not started</t>
        </is>
      </c>
    </row>
    <row r="65">
      <c r="A65" t="inlineStr">
        <is>
          <t>Computer Networks</t>
        </is>
      </c>
      <c r="B65" t="inlineStr">
        <is>
          <t>Application layer: DNS, HTTP (2027: only these two)</t>
        </is>
      </c>
      <c r="C65" s="12" t="inlineStr">
        <is>
          <t>Not started</t>
        </is>
      </c>
    </row>
    <row r="66">
      <c r="A66" s="13" t="inlineStr">
        <is>
          <t>General Aptitude</t>
        </is>
      </c>
      <c r="B66" s="13" t="inlineStr">
        <is>
          <t>Verbal aptitude</t>
        </is>
      </c>
      <c r="C66" s="12" t="inlineStr">
        <is>
          <t>Not started</t>
        </is>
      </c>
    </row>
    <row r="67">
      <c r="A67" t="inlineStr">
        <is>
          <t>General Aptitude</t>
        </is>
      </c>
      <c r="B67" t="inlineStr">
        <is>
          <t>Quantitative aptitude</t>
        </is>
      </c>
      <c r="C67" s="12" t="inlineStr">
        <is>
          <t>Not started</t>
        </is>
      </c>
    </row>
    <row r="68">
      <c r="A68" s="13" t="inlineStr">
        <is>
          <t>General Aptitude</t>
        </is>
      </c>
      <c r="B68" s="13" t="inlineStr">
        <is>
          <t>Analytical aptitude</t>
        </is>
      </c>
      <c r="C68" s="12" t="inlineStr">
        <is>
          <t>Not started</t>
        </is>
      </c>
    </row>
    <row r="69">
      <c r="A69" t="inlineStr">
        <is>
          <t>General Aptitude</t>
        </is>
      </c>
      <c r="B69" t="inlineStr">
        <is>
          <t>Spatial aptitude</t>
        </is>
      </c>
      <c r="C69" s="12" t="inlineStr">
        <is>
          <t>Not started</t>
        </is>
      </c>
    </row>
  </sheetData>
  <conditionalFormatting sqref="C5:C69">
    <cfRule type="cellIs" priority="1" operator="equal" dxfId="0">
      <formula>"Done"</formula>
    </cfRule>
  </conditionalFormatting>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showDropDown="0" showInputMessage="0" showErrorMessage="0" allowBlank="1" type="list">
      <formula1>"Not started,Learning,Done"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36" customWidth="1" min="1" max="1"/>
    <col width="11" customWidth="1" min="2" max="2"/>
    <col width="11" customWidth="1" min="3" max="3"/>
    <col width="15" customWidth="1" min="4" max="4"/>
    <col width="10" customWidth="1" min="5" max="5"/>
  </cols>
  <sheetData>
    <row r="1">
      <c r="A1" s="1" t="inlineStr">
        <is>
          <t>Sources and weights</t>
        </is>
      </c>
      <c r="B1" s="2" t="n"/>
      <c r="C1" s="2" t="n"/>
      <c r="D1" s="2" t="n"/>
      <c r="E1" s="2" t="n"/>
    </row>
    <row r="2">
      <c r="A2" s="3" t="inlineStr">
        <is>
          <t>Checked 16 Oct 2026</t>
        </is>
      </c>
      <c r="B2" s="2" t="n"/>
      <c r="C2" s="2" t="n"/>
      <c r="D2" s="2" t="n"/>
      <c r="E2" s="2" t="n"/>
    </row>
    <row r="5">
      <c r="A5" s="14" t="n"/>
      <c r="B5" s="14" t="n"/>
      <c r="C5" s="14" t="n"/>
      <c r="D5" s="14" t="n"/>
      <c r="E5" s="14" t="n"/>
    </row>
    <row r="6"/>
    <row r="7"/>
    <row r="8"/>
    <row r="9"/>
    <row r="10"/>
    <row r="11"/>
    <row r="12"/>
    <row r="13"/>
    <row r="14"/>
    <row r="15"/>
    <row r="16"/>
    <row r="19" ht="32" customHeight="1">
      <c r="A19" s="15" t="inlineStr">
        <is>
          <t>Exam dates and organising institute: IIT Madras press release, iitm.ac.in (GATE 2027: 6, 7, 13, 14, 20, 21 Feb 2027; syllabus revised for 2027).</t>
        </is>
      </c>
    </row>
    <row r="20" ht="32" customHeight="1">
      <c r="A20" s="15" t="inlineStr">
        <is>
          <t>CS 2027 syllabus changes: aspirantmitraa.com summary; the official syllabus is on gate2027.iitm.ac.in (always check it).</t>
        </is>
      </c>
    </row>
    <row r="21" ht="32" customHeight="1">
      <c r="A21" s="15" t="inlineStr">
        <is>
          <t>Subject marks 2023–2025: GO Classes, 'A Strategic Analysis of Subject-wise Weightage Trends in GATE CSE (2023-2025)'. Engineering Mathematics 10 / 13 / 12; General Aptitude 15 every year.</t>
        </is>
      </c>
    </row>
    <row r="22" ht="32" customHeight="1">
      <c r="A22" s="15" t="inlineStr">
        <is>
          <t>Weights guide your time; any subject can carry more marks in 2027.</t>
        </is>
      </c>
    </row>
  </sheetData>
  <mergeCells count="4">
    <mergeCell ref="A21:E21"/>
    <mergeCell ref="A22:E22"/>
    <mergeCell ref="A20:E20"/>
    <mergeCell ref="A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Kalpa Labs</dc:creator>
  <dc:title xmlns:dc="http://purl.org/dc/elements/1.1/">GATE 2027 CS Tracker (lite)</dc:title>
  <dcterms:created xmlns:dcterms="http://purl.org/dc/terms/" xmlns:xsi="http://www.w3.org/2001/XMLSchema-instance" xsi:type="dcterms:W3CDTF">2026-10-16T16:22:12Z</dcterms:created>
  <dcterms:modified xmlns:dcterms="http://purl.org/dc/terms/" xmlns:xsi="http://www.w3.org/2001/XMLSchema-instance" xsi:type="dcterms:W3CDTF">2026-10-16T16:22:12Z</dcterms:modified>
</cp:coreProperties>
</file>