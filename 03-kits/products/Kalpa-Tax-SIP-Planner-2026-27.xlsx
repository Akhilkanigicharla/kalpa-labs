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Tax" sheetId="2" state="visible" r:id="rId2"/>
    <sheet xmlns:r="http://schemas.openxmlformats.org/officeDocument/2006/relationships" name="HRA" sheetId="3" state="visible" r:id="rId3"/>
    <sheet xmlns:r="http://schemas.openxmlformats.org/officeDocument/2006/relationships" name="SIP goal" sheetId="4" state="visible" r:id="rId4"/>
    <sheet xmlns:r="http://schemas.openxmlformats.org/officeDocument/2006/relationships" name="Loan" sheetId="5" state="visible" r:id="rId5"/>
    <sheet xmlns:r="http://schemas.openxmlformats.org/officeDocument/2006/relationships" name="Self-check" sheetId="6" state="visible" r:id="rId6"/>
    <sheet xmlns:r="http://schemas.openxmlformats.org/officeDocument/2006/relationships" name="Ru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B9BDE0"/>
      <sz val="10"/>
    </font>
    <font>
      <name val="Arial"/>
      <b val="1"/>
      <color rgb="001C2463"/>
      <sz val="11"/>
    </font>
    <font>
      <name val="Arial"/>
      <color rgb="00191C33"/>
      <sz val="11"/>
    </font>
    <font>
      <name val="Arial"/>
      <b val="1"/>
      <color rgb="00191C33"/>
      <sz val="11"/>
    </font>
    <font>
      <name val="Arial"/>
      <b val="1"/>
    </font>
    <font>
      <name val="Arial"/>
      <color rgb="005D6079"/>
      <sz val="11"/>
    </font>
    <font>
      <name val="Arial"/>
      <b val="1"/>
      <sz val="11"/>
    </font>
    <font>
      <name val="Arial"/>
      <sz val="11"/>
    </font>
    <font>
      <name val="Arial"/>
      <b val="1"/>
      <color rgb="00FFFFFF"/>
    </font>
    <font>
      <name val="Arial"/>
      <b val="1"/>
      <color rgb="00C0392B"/>
    </font>
  </fonts>
  <fills count="6">
    <fill>
      <patternFill/>
    </fill>
    <fill>
      <patternFill patternType="gray125"/>
    </fill>
    <fill>
      <patternFill patternType="solid">
        <fgColor rgb="001C2463"/>
      </patternFill>
    </fill>
    <fill>
      <patternFill patternType="solid">
        <fgColor rgb="00FFF6DD"/>
      </patternFill>
    </fill>
    <fill>
      <patternFill patternType="solid">
        <fgColor rgb="00B23A2C"/>
      </patternFill>
    </fill>
    <fill>
      <patternFill patternType="solid">
        <fgColor rgb="00E6E6F1"/>
      </patternFill>
    </fill>
  </fills>
  <borders count="2">
    <border>
      <left/>
      <right/>
      <top/>
      <bottom/>
      <diagonal/>
    </border>
    <border>
      <left style="thin">
        <color rgb="00DCDBE7"/>
      </left>
      <right style="thin">
        <color rgb="00DCDBE7"/>
      </right>
      <top style="thin">
        <color rgb="00DCDBE7"/>
      </top>
      <bottom style="thin">
        <color rgb="00DCDBE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3" fontId="8" fillId="3" borderId="1" pivotButton="0" quotePrefix="0" xfId="0"/>
    <xf numFmtId="49" fontId="8" fillId="3" borderId="1" pivotButton="0" quotePrefix="0" xfId="0"/>
    <xf numFmtId="3" fontId="9" fillId="0" borderId="1" pivotButton="0" quotePrefix="0" xfId="0"/>
    <xf numFmtId="3" fontId="8" fillId="0" borderId="1" pivotButton="0" quotePrefix="0" xfId="0"/>
    <xf numFmtId="0" fontId="10" fillId="4" borderId="0" pivotButton="0" quotePrefix="0" xfId="0"/>
    <xf numFmtId="49" fontId="8" fillId="0" borderId="1" pivotButton="0" quotePrefix="0" xfId="0"/>
    <xf numFmtId="0" fontId="11" fillId="0" borderId="0" pivotButton="0" quotePrefix="0" xfId="0"/>
    <xf numFmtId="0" fontId="7" fillId="0" borderId="0" applyAlignment="1" pivotButton="0" quotePrefix="0" xfId="0">
      <alignment vertical="center" wrapText="1"/>
    </xf>
    <xf numFmtId="1" fontId="8" fillId="3" borderId="1" pivotButton="0" quotePrefix="0" xfId="0"/>
    <xf numFmtId="164" fontId="8" fillId="3" borderId="1" pivotButton="0" quotePrefix="0" xfId="0"/>
    <xf numFmtId="9" fontId="8" fillId="3" borderId="1" pivotButton="0" quotePrefix="0" xfId="0"/>
    <xf numFmtId="4" fontId="9" fillId="0" borderId="1" pivotButton="0" quotePrefix="0" xfId="0"/>
    <xf numFmtId="0" fontId="10" fillId="2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0" fillId="5" borderId="0" pivotButton="0" quotePrefix="0" xfId="0"/>
    <xf numFmtId="3" fontId="0" fillId="5" borderId="0" pivotButton="0" quotePrefix="0" xfId="0"/>
    <xf numFmtId="4" fontId="0" fillId="5" borderId="0" pivotButton="0" quotePrefix="0" xfId="0"/>
    <xf numFmtId="10" fontId="8" fillId="3" borderId="1" pivotButton="0" quotePrefix="0" xfId="0"/>
    <xf numFmtId="1" fontId="9" fillId="0" borderId="1" pivotButton="0" quotePrefix="0" xfId="0"/>
    <xf numFmtId="0" fontId="6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2">
    <dxf>
      <font>
        <b val="1"/>
        <color rgb="0023804F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Salary Tax-Regime + SIP Goal Planner 2026-27</t>
        </is>
      </c>
      <c r="B1" s="2" t="n"/>
      <c r="C1" s="2" t="n"/>
      <c r="D1" s="2" t="n"/>
      <c r="E1" s="2" t="n"/>
      <c r="F1" s="2" t="n"/>
    </row>
    <row r="2">
      <c r="A2" s="3" t="inlineStr">
        <is>
          <t>Kalpa Labs · Kit v1.0 · personal licence</t>
        </is>
      </c>
      <c r="B2" s="2" t="n"/>
      <c r="C2" s="2" t="n"/>
      <c r="D2" s="2" t="n"/>
      <c r="E2" s="2" t="n"/>
      <c r="F2" s="2" t="n"/>
    </row>
    <row r="4" ht="20" customHeight="1">
      <c r="A4" s="4" t="inlineStr">
        <is>
          <t>How to use (English)</t>
        </is>
      </c>
    </row>
    <row r="5" ht="30" customHeight="1">
      <c r="A5" s="5" t="inlineStr">
        <is>
          <t>1. Tax tab: type your yearly gross salary and age band. Fill the old-regime deductions you really have.</t>
        </is>
      </c>
    </row>
    <row r="6" ht="20" customHeight="1">
      <c r="A6" s="5" t="inlineStr">
        <is>
          <t>2. HRA tab: only if you pay rent and get HRA. The result flows into the Tax tab.</t>
        </is>
      </c>
    </row>
    <row r="7" ht="20" customHeight="1">
      <c r="A7" s="5" t="inlineStr">
        <is>
          <t>3. The Tax tab shows both regimes, which is lower, and how much you save.</t>
        </is>
      </c>
    </row>
    <row r="8" ht="30" customHeight="1">
      <c r="A8" s="5" t="inlineStr">
        <is>
          <t>4. SIP goal tab: a goal, years, and your own return assumption → the monthly SIP to start with.</t>
        </is>
      </c>
    </row>
    <row r="9" ht="20" customHeight="1">
      <c r="A9" s="5" t="inlineStr">
        <is>
          <t>5. Loan tab: EMI, and how much interest an extra monthly payment saves.</t>
        </is>
      </c>
    </row>
    <row r="10" ht="30" customHeight="1">
      <c r="A10" s="5" t="inlineStr">
        <is>
          <t>6. Self-check tab: every row must say PASS. That proves the formulas match official examples.</t>
        </is>
      </c>
    </row>
    <row r="11" ht="20" customHeight="1">
      <c r="A11" s="5" t="inlineStr"/>
    </row>
    <row r="12" ht="20" customHeight="1">
      <c r="A12" s="4" t="inlineStr">
        <is>
          <t>ఎలా వాడాలి (తెలుగు)</t>
        </is>
      </c>
    </row>
    <row r="13" ht="30" customHeight="1">
      <c r="A13" s="5" t="inlineStr">
        <is>
          <t>1. Tax ట్యాబ్: మీ ఏడాది మొత్తం జీతం, వయసు ఎంచుకోండి. పాత విధానం మినహాయింపులు నిజంగా ఉన్నవే రాయండి.</t>
        </is>
      </c>
    </row>
    <row r="14" ht="20" customHeight="1">
      <c r="A14" s="5" t="inlineStr">
        <is>
          <t>2. HRA ట్యాబ్: అద్దె కట్టి HRA వస్తేనే నింపండి. ఫలితం Tax ట్యాబ్‌కు వెళ్తుంది.</t>
        </is>
      </c>
    </row>
    <row r="15" ht="20" customHeight="1">
      <c r="A15" s="5" t="inlineStr">
        <is>
          <t>3. Tax ట్యాబ్‌లో రెండు విధానాలు, ఏది తక్కువ, ఎంత ఆదా అవుతుంది అన్నీ కనిపిస్తాయి.</t>
        </is>
      </c>
    </row>
    <row r="16" ht="20" customHeight="1">
      <c r="A16" s="5" t="inlineStr">
        <is>
          <t>4. SIP goal ట్యాబ్: లక్ష్యం, సంవత్సరాలు, మీరు అనుకునే రాబడి → నెలకు ఎంత SIP మొదలుపెట్టాలి.</t>
        </is>
      </c>
    </row>
    <row r="17" ht="20" customHeight="1">
      <c r="A17" s="5" t="inlineStr">
        <is>
          <t>5. Self-check ట్యాబ్‌లో అన్నీ PASS అని ఉండాలి.</t>
        </is>
      </c>
    </row>
    <row r="18" ht="20" customHeight="1">
      <c r="A18" s="5" t="inlineStr"/>
    </row>
    <row r="19" ht="30" customHeight="1">
      <c r="A19" s="5" t="inlineStr">
        <is>
          <t>Yellow cells are for you; don't type over the white ones. If something breaks, make a fresh copy from your link.</t>
        </is>
      </c>
    </row>
    <row r="20" ht="30" customHeight="1">
      <c r="A20" s="5" t="inlineStr">
        <is>
          <t>A calculator, not tax, investment or legal advice. Rules for tax year 2026-27 (Income-tax Act 2025), checked 16 Oct 2026. Income above ₹50 lakh: surcharge not included.</t>
        </is>
      </c>
    </row>
    <row r="21" ht="20" customHeight="1">
      <c r="A21" s="5" t="inlineStr">
        <is>
          <t>Kalpa Labs · Udyam UDYAM-TS-02-0382711 · aakhiil51458@gmail.com</t>
        </is>
      </c>
    </row>
  </sheetData>
  <mergeCells count="18">
    <mergeCell ref="A16:F16"/>
    <mergeCell ref="A11:F11"/>
    <mergeCell ref="A10:F10"/>
    <mergeCell ref="A13:F13"/>
    <mergeCell ref="A14:F14"/>
    <mergeCell ref="A19:F19"/>
    <mergeCell ref="A5:F5"/>
    <mergeCell ref="A9:F9"/>
    <mergeCell ref="A8:F8"/>
    <mergeCell ref="A6:F6"/>
    <mergeCell ref="A17:F17"/>
    <mergeCell ref="A12:F12"/>
    <mergeCell ref="A4:F4"/>
    <mergeCell ref="A18:F18"/>
    <mergeCell ref="A20:F20"/>
    <mergeCell ref="A21:F21"/>
    <mergeCell ref="A15:F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Old vs new regime · 2026-27</t>
        </is>
      </c>
      <c r="B1" s="2" t="n"/>
      <c r="C1" s="2" t="n"/>
      <c r="D1" s="2" t="n"/>
      <c r="E1" s="2" t="n"/>
      <c r="F1" s="2" t="n"/>
    </row>
    <row r="2">
      <c r="A2" s="3" t="inlineStr">
        <is>
          <t>Salaried, resident · yellow cells are yours to fill · everything else calculates</t>
        </is>
      </c>
      <c r="B2" s="2" t="n"/>
      <c r="C2" s="2" t="n"/>
      <c r="D2" s="2" t="n"/>
      <c r="E2" s="2" t="n"/>
      <c r="F2" s="2" t="n"/>
    </row>
    <row r="4">
      <c r="A4" s="6" t="inlineStr">
        <is>
          <t>Gross salary for the year (₹)</t>
        </is>
      </c>
      <c r="B4" s="7" t="n">
        <v>1300000</v>
      </c>
    </row>
    <row r="5">
      <c r="A5" s="6" t="inlineStr">
        <is>
          <t>Your age band</t>
        </is>
      </c>
      <c r="B5" s="8" t="inlineStr">
        <is>
          <t>Below 60</t>
        </is>
      </c>
    </row>
    <row r="7">
      <c r="A7" s="4" t="inlineStr">
        <is>
          <t>Old regime deductions (the sheet applies the caps)</t>
        </is>
      </c>
      <c r="B7" t="inlineStr">
        <is>
          <t>You enter</t>
        </is>
      </c>
      <c r="C7" t="inlineStr">
        <is>
          <t>Counted</t>
        </is>
      </c>
    </row>
    <row r="8">
      <c r="A8" s="5" t="inlineStr">
        <is>
          <t>80C: PF, PPF, ELSS, LIC, tuition… (cap ₹1,50,000)</t>
        </is>
      </c>
      <c r="B8" s="7" t="n">
        <v>150000</v>
      </c>
      <c r="C8" s="9">
        <f>MIN(MAX(0,B8),150000)</f>
        <v/>
      </c>
    </row>
    <row r="9">
      <c r="A9" s="5" t="inlineStr">
        <is>
          <t>80D: health insurance (cap ₹1,00,000 incl. parents)</t>
        </is>
      </c>
      <c r="B9" s="7" t="n">
        <v>0</v>
      </c>
      <c r="C9" s="9">
        <f>MIN(MAX(0,B9),100000)</f>
        <v/>
      </c>
    </row>
    <row r="10">
      <c r="A10" s="5" t="inlineStr">
        <is>
          <t>HRA exemption (from the HRA tab)</t>
        </is>
      </c>
      <c r="B10" s="9">
        <f>HRA!B12</f>
        <v/>
      </c>
      <c r="C10" s="9">
        <f>MAX(0,B10)</f>
        <v/>
      </c>
    </row>
    <row r="11">
      <c r="A11" s="5" t="inlineStr">
        <is>
          <t>Home-loan interest, self-occupied (cap ₹2,00,000)</t>
        </is>
      </c>
      <c r="B11" s="7" t="n">
        <v>0</v>
      </c>
      <c r="C11" s="9">
        <f>MIN(MAX(0,B11),200000)</f>
        <v/>
      </c>
    </row>
    <row r="12">
      <c r="A12" s="5" t="inlineStr">
        <is>
          <t>NPS 80CCD(1B) (cap ₹50,000)</t>
        </is>
      </c>
      <c r="B12" s="7" t="n">
        <v>0</v>
      </c>
      <c r="C12" s="9">
        <f>MIN(MAX(0,B12),50000)</f>
        <v/>
      </c>
    </row>
    <row r="13">
      <c r="A13" s="5" t="inlineStr">
        <is>
          <t>Other deductions you're sure of</t>
        </is>
      </c>
      <c r="B13" s="7" t="n">
        <v>0</v>
      </c>
      <c r="C13" s="9">
        <f>MAX(0,B13)</f>
        <v/>
      </c>
    </row>
    <row r="14">
      <c r="A14" s="6" t="inlineStr">
        <is>
          <t>Total old-regime deductions (₹)</t>
        </is>
      </c>
      <c r="C14" s="10">
        <f>SUM(C8:C13)</f>
        <v/>
      </c>
    </row>
    <row r="16">
      <c r="B16" s="11" t="inlineStr">
        <is>
          <t>New regime</t>
        </is>
      </c>
      <c r="C16" s="11" t="inlineStr">
        <is>
          <t>Old regime</t>
        </is>
      </c>
    </row>
    <row r="17">
      <c r="A17" s="5" t="inlineStr">
        <is>
          <t>Standard deduction (₹)</t>
        </is>
      </c>
      <c r="B17" s="9">
        <f>Rules!$B$4</f>
        <v/>
      </c>
      <c r="C17" s="9">
        <f>Rules!$C$4</f>
        <v/>
      </c>
    </row>
    <row r="18">
      <c r="A18" s="5" t="inlineStr">
        <is>
          <t>Taxable income (₹, rounded to ₹10)</t>
        </is>
      </c>
      <c r="B18" s="9">
        <f>MAX(0,ROUND(($B$4-Rules!$B$4)/10,0)*10)</f>
        <v/>
      </c>
      <c r="C18" s="9">
        <f>MAX(0,ROUND(($B$4-Rules!$C$4-$C$14)/10,0)*10)</f>
        <v/>
      </c>
    </row>
    <row r="19">
      <c r="A19" s="5" t="inlineStr">
        <is>
          <t>Tax on slabs (₹)</t>
        </is>
      </c>
      <c r="B19" s="9">
        <f>SUMPRODUCT((B18&gt;Rules!$A$9:$A$15)*(B18-Rules!$A$9:$A$15)*Rules!$C$9:$C$15)</f>
        <v/>
      </c>
      <c r="C19" s="9">
        <f>CHOOSE(MATCH($B$5,Rules!$A$27:$A$29,0),SUMPRODUCT((C18&gt;Rules!$A$19:$A$22)*(C18-Rules!$A$19:$A$22)*Rules!$B$19:$B$22),SUMPRODUCT((C18&gt;Rules!$C$19:$C$22)*(C18-Rules!$C$19:$C$22)*Rules!$D$19:$D$22),SUMPRODUCT((C18&gt;Rules!$E$19:$E$22)*(C18-Rules!$E$19:$E$22)*Rules!$F$19:$F$22))</f>
        <v/>
      </c>
    </row>
    <row r="20">
      <c r="A20" s="5" t="inlineStr">
        <is>
          <t>Rebate u/s 156, ex-87A, with marginal relief (₹)</t>
        </is>
      </c>
      <c r="B20" s="9">
        <f>IF(B18&lt;=Rules!$B$5,MIN(B19,Rules!$B$6),MAX(0,B19-(B18-Rules!$B$5)))</f>
        <v/>
      </c>
      <c r="C20" s="9">
        <f>IF(C18&lt;=Rules!$C$5,MIN(C19,Rules!$C$6),0)</f>
        <v/>
      </c>
    </row>
    <row r="21">
      <c r="A21" s="5" t="inlineStr">
        <is>
          <t>Tax after rebate (₹)</t>
        </is>
      </c>
      <c r="B21" s="9">
        <f>B19-B20</f>
        <v/>
      </c>
      <c r="C21" s="9">
        <f>C19-C20</f>
        <v/>
      </c>
    </row>
    <row r="22">
      <c r="A22" s="5" t="inlineStr">
        <is>
          <t>Health and education cess, 4% (₹)</t>
        </is>
      </c>
      <c r="B22" s="9">
        <f>B21*Rules!$B$7</f>
        <v/>
      </c>
      <c r="C22" s="9">
        <f>C21*Rules!$B$7</f>
        <v/>
      </c>
    </row>
    <row r="23">
      <c r="A23" s="6" t="inlineStr">
        <is>
          <t>Total tax for the year (₹)</t>
        </is>
      </c>
      <c r="B23" s="10">
        <f>ROUND((B21+B22)/10,0)*10</f>
        <v/>
      </c>
      <c r="C23" s="10">
        <f>ROUND((C21+C22)/10,0)*10</f>
        <v/>
      </c>
    </row>
    <row r="24">
      <c r="A24" s="5" t="inlineStr">
        <is>
          <t>Per month (₹)</t>
        </is>
      </c>
      <c r="B24" s="9">
        <f>ROUND(B23/12,0)</f>
        <v/>
      </c>
      <c r="C24" s="9">
        <f>ROUND(C23/12,0)</f>
        <v/>
      </c>
    </row>
    <row r="27">
      <c r="A27" s="6" t="inlineStr">
        <is>
          <t>Lower tax under</t>
        </is>
      </c>
      <c r="B27" s="12">
        <f>IF(B23&lt;=C23,"New regime","Old regime")</f>
        <v/>
      </c>
    </row>
    <row r="28">
      <c r="A28" s="6" t="inlineStr">
        <is>
          <t>You save (₹ a year)</t>
        </is>
      </c>
      <c r="B28" s="10">
        <f>ABS(B23-C23)</f>
        <v/>
      </c>
    </row>
    <row r="30">
      <c r="A30" s="6" t="inlineStr">
        <is>
          <t>Check</t>
        </is>
      </c>
      <c r="B30" s="13">
        <f>IF(MAX(B18,C18)&gt;5000000,"Income above ₹50 lakh: surcharge isn't included here. Ask a CA.","OK: within this kit's range")</f>
        <v/>
      </c>
    </row>
    <row r="32">
      <c r="A32" s="14" t="inlineStr">
        <is>
          <t>This is a calculator, not tax advice. It names no investments and makes no return promises.</t>
        </is>
      </c>
    </row>
  </sheetData>
  <dataValidations count="1">
    <dataValidation sqref="B5" showDropDown="0" showInputMessage="0" showErrorMessage="0" allowBlank="0" type="list">
      <formula1>=Rules!$A$27:$A$29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HRA exemption (old regime only)</t>
        </is>
      </c>
      <c r="B1" s="2" t="n"/>
      <c r="C1" s="2" t="n"/>
      <c r="D1" s="2" t="n"/>
      <c r="E1" s="2" t="n"/>
      <c r="F1" s="2" t="n"/>
    </row>
    <row r="2">
      <c r="A2" s="3" t="inlineStr">
        <is>
          <t>Yearly amounts · the smallest of three limits is exempt</t>
        </is>
      </c>
      <c r="B2" s="2" t="n"/>
      <c r="C2" s="2" t="n"/>
      <c r="D2" s="2" t="n"/>
      <c r="E2" s="2" t="n"/>
      <c r="F2" s="2" t="n"/>
    </row>
    <row r="4">
      <c r="A4" s="6" t="inlineStr">
        <is>
          <t>Basic + DA for the year (₹)</t>
        </is>
      </c>
      <c r="B4" s="7" t="n">
        <v>600000</v>
      </c>
    </row>
    <row r="5">
      <c r="A5" s="6" t="inlineStr">
        <is>
          <t>HRA received for the year (₹)</t>
        </is>
      </c>
      <c r="B5" s="7" t="n">
        <v>240000</v>
      </c>
    </row>
    <row r="6">
      <c r="A6" s="6" t="inlineStr">
        <is>
          <t>Rent paid for the year (₹)</t>
        </is>
      </c>
      <c r="B6" s="7" t="n">
        <v>240000</v>
      </c>
    </row>
    <row r="7">
      <c r="A7" s="6" t="inlineStr">
        <is>
          <t>City you live in</t>
        </is>
      </c>
      <c r="B7" s="8" t="inlineStr">
        <is>
          <t>Hyderabad</t>
        </is>
      </c>
    </row>
    <row r="9">
      <c r="A9" s="5" t="inlineStr">
        <is>
          <t>1. HRA actually received</t>
        </is>
      </c>
      <c r="B9" s="9">
        <f>B5</f>
        <v/>
      </c>
    </row>
    <row r="10">
      <c r="A10" s="5" t="inlineStr">
        <is>
          <t>2. 50% of basic+DA (metro) or 40% (other city)</t>
        </is>
      </c>
      <c r="B10" s="9">
        <f>B4*IF(B7="Other city",0.4,0.5)</f>
        <v/>
      </c>
    </row>
    <row r="11">
      <c r="A11" s="5" t="inlineStr">
        <is>
          <t>3. Rent paid minus 10% of basic+DA</t>
        </is>
      </c>
      <c r="B11" s="9">
        <f>MAX(0,B6-0.1*B4)</f>
        <v/>
      </c>
    </row>
    <row r="12">
      <c r="A12" s="6" t="inlineStr">
        <is>
          <t>HRA exempt (smallest of 1, 2, 3) (₹)</t>
        </is>
      </c>
      <c r="B12" s="10">
        <f>ROUND(MAX(0,MIN(B9,B10,B11)),0)</f>
        <v/>
      </c>
    </row>
    <row r="13">
      <c r="A13" s="5" t="inlineStr">
        <is>
          <t>HRA that stays taxable (₹)</t>
        </is>
      </c>
      <c r="B13" s="9">
        <f>ROUND(B5-B12,0)</f>
        <v/>
      </c>
    </row>
    <row r="15">
      <c r="A15" s="14" t="inlineStr">
        <is>
          <t>Goes to the Tax tab automatically. Claim it only in the old regime, with rent receipts (and the landlord's PAN above ₹1 lakh rent a year).</t>
        </is>
      </c>
    </row>
  </sheetData>
  <dataValidations count="1">
    <dataValidation sqref="B7" showDropDown="0" showInputMessage="0" showErrorMessage="0" allowBlank="0" type="list">
      <formula1>=Rules!$A$32:$A$40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SIP goal planner</t>
        </is>
      </c>
      <c r="B1" s="2" t="n"/>
      <c r="C1" s="2" t="n"/>
      <c r="D1" s="2" t="n"/>
      <c r="E1" s="2" t="n"/>
      <c r="F1" s="2" t="n"/>
    </row>
    <row r="2">
      <c r="A2" s="3" t="inlineStr">
        <is>
          <t>How much to invest each month, with a yearly step-up · returns are your assumption, not a promise</t>
        </is>
      </c>
      <c r="B2" s="2" t="n"/>
      <c r="C2" s="2" t="n"/>
      <c r="D2" s="2" t="n"/>
      <c r="E2" s="2" t="n"/>
      <c r="F2" s="2" t="n"/>
    </row>
    <row r="4">
      <c r="A4" s="6" t="inlineStr">
        <is>
          <t>Goal in today's money (₹)</t>
        </is>
      </c>
      <c r="B4" s="7" t="n">
        <v>2000000</v>
      </c>
    </row>
    <row r="5">
      <c r="A5" s="6" t="inlineStr">
        <is>
          <t>Years to the goal</t>
        </is>
      </c>
      <c r="B5" s="15" t="n">
        <v>10</v>
      </c>
    </row>
    <row r="6">
      <c r="A6" s="6" t="inlineStr">
        <is>
          <t>Inflation a year</t>
        </is>
      </c>
      <c r="B6" s="16" t="n">
        <v>0.06</v>
      </c>
    </row>
    <row r="7">
      <c r="A7" s="6" t="inlineStr">
        <is>
          <t>Return you assume a year</t>
        </is>
      </c>
      <c r="B7" s="16" t="n">
        <v>0.1</v>
      </c>
    </row>
    <row r="8">
      <c r="A8" s="6" t="inlineStr">
        <is>
          <t>Increase your SIP every year by</t>
        </is>
      </c>
      <c r="B8" s="17" t="n">
        <v>0.1</v>
      </c>
    </row>
    <row r="9">
      <c r="A9" s="6" t="inlineStr">
        <is>
          <t>Money already saved for it (₹)</t>
        </is>
      </c>
      <c r="B9" s="7" t="n">
        <v>0</v>
      </c>
    </row>
    <row r="11">
      <c r="A11" s="5" t="inlineStr">
        <is>
          <t>Goal in future money (₹)</t>
        </is>
      </c>
      <c r="B11" s="9">
        <f>B4*(1+B6)^B5</f>
        <v/>
      </c>
    </row>
    <row r="12">
      <c r="A12" s="5" t="inlineStr">
        <is>
          <t>Your savings will grow to (₹)</t>
        </is>
      </c>
      <c r="B12" s="9">
        <f>B9*(1+B7)^B5</f>
        <v/>
      </c>
    </row>
    <row r="13">
      <c r="A13" s="5" t="inlineStr">
        <is>
          <t>Still needed (₹)</t>
        </is>
      </c>
      <c r="B13" s="9">
        <f>MAX(0,B11-B12)</f>
        <v/>
      </c>
    </row>
    <row r="14">
      <c r="A14" s="5" t="inlineStr">
        <is>
          <t>₹1 a month this year grows to (₹)</t>
        </is>
      </c>
      <c r="B14" s="18">
        <f>SUM(D20:D59)</f>
        <v/>
      </c>
    </row>
    <row r="15">
      <c r="A15" s="6" t="inlineStr">
        <is>
          <t>Start your SIP at (₹ a month, rounded up to ₹100)</t>
        </is>
      </c>
      <c r="B15" s="10">
        <f>IF(B14=0,0,CEILING(B13/B14,100))</f>
        <v/>
      </c>
    </row>
    <row r="16">
      <c r="A16" s="6" t="inlineStr">
        <is>
          <t>Check</t>
        </is>
      </c>
      <c r="B16">
        <f>IF(OR(B5&lt;1,B5&gt;40),"Use 1 to 40 years","OK")</f>
        <v/>
      </c>
    </row>
    <row r="19">
      <c r="A19" s="19" t="inlineStr">
        <is>
          <t>Year</t>
        </is>
      </c>
      <c r="B19" s="19" t="inlineStr">
        <is>
          <t>Monthly SIP this year (₹)</t>
        </is>
      </c>
      <c r="C19" s="19" t="inlineStr">
        <is>
          <t>Step-up factor</t>
        </is>
      </c>
      <c r="D19" s="19" t="inlineStr">
        <is>
          <t>₹1/month factor at the goal</t>
        </is>
      </c>
    </row>
    <row r="20">
      <c r="A20" t="n">
        <v>1</v>
      </c>
      <c r="B20" s="20">
        <f>IF(A20&lt;=$B$5,ROUND($B$15*C20,0),"")</f>
        <v/>
      </c>
      <c r="C20">
        <f>IF(A20&lt;=$B$5,(1+$B$8)^(A20-1),0)</f>
        <v/>
      </c>
      <c r="D20" s="21">
        <f>IF(A20&lt;=$B$5,C20*IF($B$7=0,12,((1+$B$7/12)^12-1)/($B$7/12)*(1+$B$7/12))*(1+$B$7/12)^(12*($B$5-A20)),0)</f>
        <v/>
      </c>
    </row>
    <row r="21">
      <c r="A21" s="22" t="n">
        <v>2</v>
      </c>
      <c r="B21" s="23">
        <f>IF(A21&lt;=$B$5,ROUND($B$15*C21,0),"")</f>
        <v/>
      </c>
      <c r="C21" s="22">
        <f>IF(A21&lt;=$B$5,(1+$B$8)^(A21-1),0)</f>
        <v/>
      </c>
      <c r="D21" s="24">
        <f>IF(A21&lt;=$B$5,C21*IF($B$7=0,12,((1+$B$7/12)^12-1)/($B$7/12)*(1+$B$7/12))*(1+$B$7/12)^(12*($B$5-A21)),0)</f>
        <v/>
      </c>
    </row>
    <row r="22">
      <c r="A22" t="n">
        <v>3</v>
      </c>
      <c r="B22" s="20">
        <f>IF(A22&lt;=$B$5,ROUND($B$15*C22,0),"")</f>
        <v/>
      </c>
      <c r="C22">
        <f>IF(A22&lt;=$B$5,(1+$B$8)^(A22-1),0)</f>
        <v/>
      </c>
      <c r="D22" s="21">
        <f>IF(A22&lt;=$B$5,C22*IF($B$7=0,12,((1+$B$7/12)^12-1)/($B$7/12)*(1+$B$7/12))*(1+$B$7/12)^(12*($B$5-A22)),0)</f>
        <v/>
      </c>
    </row>
    <row r="23">
      <c r="A23" s="22" t="n">
        <v>4</v>
      </c>
      <c r="B23" s="23">
        <f>IF(A23&lt;=$B$5,ROUND($B$15*C23,0),"")</f>
        <v/>
      </c>
      <c r="C23" s="22">
        <f>IF(A23&lt;=$B$5,(1+$B$8)^(A23-1),0)</f>
        <v/>
      </c>
      <c r="D23" s="24">
        <f>IF(A23&lt;=$B$5,C23*IF($B$7=0,12,((1+$B$7/12)^12-1)/($B$7/12)*(1+$B$7/12))*(1+$B$7/12)^(12*($B$5-A23)),0)</f>
        <v/>
      </c>
    </row>
    <row r="24">
      <c r="A24" t="n">
        <v>5</v>
      </c>
      <c r="B24" s="20">
        <f>IF(A24&lt;=$B$5,ROUND($B$15*C24,0),"")</f>
        <v/>
      </c>
      <c r="C24">
        <f>IF(A24&lt;=$B$5,(1+$B$8)^(A24-1),0)</f>
        <v/>
      </c>
      <c r="D24" s="21">
        <f>IF(A24&lt;=$B$5,C24*IF($B$7=0,12,((1+$B$7/12)^12-1)/($B$7/12)*(1+$B$7/12))*(1+$B$7/12)^(12*($B$5-A24)),0)</f>
        <v/>
      </c>
    </row>
    <row r="25">
      <c r="A25" s="22" t="n">
        <v>6</v>
      </c>
      <c r="B25" s="23">
        <f>IF(A25&lt;=$B$5,ROUND($B$15*C25,0),"")</f>
        <v/>
      </c>
      <c r="C25" s="22">
        <f>IF(A25&lt;=$B$5,(1+$B$8)^(A25-1),0)</f>
        <v/>
      </c>
      <c r="D25" s="24">
        <f>IF(A25&lt;=$B$5,C25*IF($B$7=0,12,((1+$B$7/12)^12-1)/($B$7/12)*(1+$B$7/12))*(1+$B$7/12)^(12*($B$5-A25)),0)</f>
        <v/>
      </c>
    </row>
    <row r="26">
      <c r="A26" t="n">
        <v>7</v>
      </c>
      <c r="B26" s="20">
        <f>IF(A26&lt;=$B$5,ROUND($B$15*C26,0),"")</f>
        <v/>
      </c>
      <c r="C26">
        <f>IF(A26&lt;=$B$5,(1+$B$8)^(A26-1),0)</f>
        <v/>
      </c>
      <c r="D26" s="21">
        <f>IF(A26&lt;=$B$5,C26*IF($B$7=0,12,((1+$B$7/12)^12-1)/($B$7/12)*(1+$B$7/12))*(1+$B$7/12)^(12*($B$5-A26)),0)</f>
        <v/>
      </c>
    </row>
    <row r="27">
      <c r="A27" s="22" t="n">
        <v>8</v>
      </c>
      <c r="B27" s="23">
        <f>IF(A27&lt;=$B$5,ROUND($B$15*C27,0),"")</f>
        <v/>
      </c>
      <c r="C27" s="22">
        <f>IF(A27&lt;=$B$5,(1+$B$8)^(A27-1),0)</f>
        <v/>
      </c>
      <c r="D27" s="24">
        <f>IF(A27&lt;=$B$5,C27*IF($B$7=0,12,((1+$B$7/12)^12-1)/($B$7/12)*(1+$B$7/12))*(1+$B$7/12)^(12*($B$5-A27)),0)</f>
        <v/>
      </c>
    </row>
    <row r="28">
      <c r="A28" t="n">
        <v>9</v>
      </c>
      <c r="B28" s="20">
        <f>IF(A28&lt;=$B$5,ROUND($B$15*C28,0),"")</f>
        <v/>
      </c>
      <c r="C28">
        <f>IF(A28&lt;=$B$5,(1+$B$8)^(A28-1),0)</f>
        <v/>
      </c>
      <c r="D28" s="21">
        <f>IF(A28&lt;=$B$5,C28*IF($B$7=0,12,((1+$B$7/12)^12-1)/($B$7/12)*(1+$B$7/12))*(1+$B$7/12)^(12*($B$5-A28)),0)</f>
        <v/>
      </c>
    </row>
    <row r="29">
      <c r="A29" s="22" t="n">
        <v>10</v>
      </c>
      <c r="B29" s="23">
        <f>IF(A29&lt;=$B$5,ROUND($B$15*C29,0),"")</f>
        <v/>
      </c>
      <c r="C29" s="22">
        <f>IF(A29&lt;=$B$5,(1+$B$8)^(A29-1),0)</f>
        <v/>
      </c>
      <c r="D29" s="24">
        <f>IF(A29&lt;=$B$5,C29*IF($B$7=0,12,((1+$B$7/12)^12-1)/($B$7/12)*(1+$B$7/12))*(1+$B$7/12)^(12*($B$5-A29)),0)</f>
        <v/>
      </c>
    </row>
    <row r="30">
      <c r="A30" t="n">
        <v>11</v>
      </c>
      <c r="B30" s="20">
        <f>IF(A30&lt;=$B$5,ROUND($B$15*C30,0),"")</f>
        <v/>
      </c>
      <c r="C30">
        <f>IF(A30&lt;=$B$5,(1+$B$8)^(A30-1),0)</f>
        <v/>
      </c>
      <c r="D30" s="21">
        <f>IF(A30&lt;=$B$5,C30*IF($B$7=0,12,((1+$B$7/12)^12-1)/($B$7/12)*(1+$B$7/12))*(1+$B$7/12)^(12*($B$5-A30)),0)</f>
        <v/>
      </c>
    </row>
    <row r="31">
      <c r="A31" s="22" t="n">
        <v>12</v>
      </c>
      <c r="B31" s="23">
        <f>IF(A31&lt;=$B$5,ROUND($B$15*C31,0),"")</f>
        <v/>
      </c>
      <c r="C31" s="22">
        <f>IF(A31&lt;=$B$5,(1+$B$8)^(A31-1),0)</f>
        <v/>
      </c>
      <c r="D31" s="24">
        <f>IF(A31&lt;=$B$5,C31*IF($B$7=0,12,((1+$B$7/12)^12-1)/($B$7/12)*(1+$B$7/12))*(1+$B$7/12)^(12*($B$5-A31)),0)</f>
        <v/>
      </c>
    </row>
    <row r="32">
      <c r="A32" t="n">
        <v>13</v>
      </c>
      <c r="B32" s="20">
        <f>IF(A32&lt;=$B$5,ROUND($B$15*C32,0),"")</f>
        <v/>
      </c>
      <c r="C32">
        <f>IF(A32&lt;=$B$5,(1+$B$8)^(A32-1),0)</f>
        <v/>
      </c>
      <c r="D32" s="21">
        <f>IF(A32&lt;=$B$5,C32*IF($B$7=0,12,((1+$B$7/12)^12-1)/($B$7/12)*(1+$B$7/12))*(1+$B$7/12)^(12*($B$5-A32)),0)</f>
        <v/>
      </c>
    </row>
    <row r="33">
      <c r="A33" s="22" t="n">
        <v>14</v>
      </c>
      <c r="B33" s="23">
        <f>IF(A33&lt;=$B$5,ROUND($B$15*C33,0),"")</f>
        <v/>
      </c>
      <c r="C33" s="22">
        <f>IF(A33&lt;=$B$5,(1+$B$8)^(A33-1),0)</f>
        <v/>
      </c>
      <c r="D33" s="24">
        <f>IF(A33&lt;=$B$5,C33*IF($B$7=0,12,((1+$B$7/12)^12-1)/($B$7/12)*(1+$B$7/12))*(1+$B$7/12)^(12*($B$5-A33)),0)</f>
        <v/>
      </c>
    </row>
    <row r="34">
      <c r="A34" t="n">
        <v>15</v>
      </c>
      <c r="B34" s="20">
        <f>IF(A34&lt;=$B$5,ROUND($B$15*C34,0),"")</f>
        <v/>
      </c>
      <c r="C34">
        <f>IF(A34&lt;=$B$5,(1+$B$8)^(A34-1),0)</f>
        <v/>
      </c>
      <c r="D34" s="21">
        <f>IF(A34&lt;=$B$5,C34*IF($B$7=0,12,((1+$B$7/12)^12-1)/($B$7/12)*(1+$B$7/12))*(1+$B$7/12)^(12*($B$5-A34)),0)</f>
        <v/>
      </c>
    </row>
    <row r="35">
      <c r="A35" s="22" t="n">
        <v>16</v>
      </c>
      <c r="B35" s="23">
        <f>IF(A35&lt;=$B$5,ROUND($B$15*C35,0),"")</f>
        <v/>
      </c>
      <c r="C35" s="22">
        <f>IF(A35&lt;=$B$5,(1+$B$8)^(A35-1),0)</f>
        <v/>
      </c>
      <c r="D35" s="24">
        <f>IF(A35&lt;=$B$5,C35*IF($B$7=0,12,((1+$B$7/12)^12-1)/($B$7/12)*(1+$B$7/12))*(1+$B$7/12)^(12*($B$5-A35)),0)</f>
        <v/>
      </c>
    </row>
    <row r="36">
      <c r="A36" t="n">
        <v>17</v>
      </c>
      <c r="B36" s="20">
        <f>IF(A36&lt;=$B$5,ROUND($B$15*C36,0),"")</f>
        <v/>
      </c>
      <c r="C36">
        <f>IF(A36&lt;=$B$5,(1+$B$8)^(A36-1),0)</f>
        <v/>
      </c>
      <c r="D36" s="21">
        <f>IF(A36&lt;=$B$5,C36*IF($B$7=0,12,((1+$B$7/12)^12-1)/($B$7/12)*(1+$B$7/12))*(1+$B$7/12)^(12*($B$5-A36)),0)</f>
        <v/>
      </c>
    </row>
    <row r="37">
      <c r="A37" s="22" t="n">
        <v>18</v>
      </c>
      <c r="B37" s="23">
        <f>IF(A37&lt;=$B$5,ROUND($B$15*C37,0),"")</f>
        <v/>
      </c>
      <c r="C37" s="22">
        <f>IF(A37&lt;=$B$5,(1+$B$8)^(A37-1),0)</f>
        <v/>
      </c>
      <c r="D37" s="24">
        <f>IF(A37&lt;=$B$5,C37*IF($B$7=0,12,((1+$B$7/12)^12-1)/($B$7/12)*(1+$B$7/12))*(1+$B$7/12)^(12*($B$5-A37)),0)</f>
        <v/>
      </c>
    </row>
    <row r="38">
      <c r="A38" t="n">
        <v>19</v>
      </c>
      <c r="B38" s="20">
        <f>IF(A38&lt;=$B$5,ROUND($B$15*C38,0),"")</f>
        <v/>
      </c>
      <c r="C38">
        <f>IF(A38&lt;=$B$5,(1+$B$8)^(A38-1),0)</f>
        <v/>
      </c>
      <c r="D38" s="21">
        <f>IF(A38&lt;=$B$5,C38*IF($B$7=0,12,((1+$B$7/12)^12-1)/($B$7/12)*(1+$B$7/12))*(1+$B$7/12)^(12*($B$5-A38)),0)</f>
        <v/>
      </c>
    </row>
    <row r="39">
      <c r="A39" s="22" t="n">
        <v>20</v>
      </c>
      <c r="B39" s="23">
        <f>IF(A39&lt;=$B$5,ROUND($B$15*C39,0),"")</f>
        <v/>
      </c>
      <c r="C39" s="22">
        <f>IF(A39&lt;=$B$5,(1+$B$8)^(A39-1),0)</f>
        <v/>
      </c>
      <c r="D39" s="24">
        <f>IF(A39&lt;=$B$5,C39*IF($B$7=0,12,((1+$B$7/12)^12-1)/($B$7/12)*(1+$B$7/12))*(1+$B$7/12)^(12*($B$5-A39)),0)</f>
        <v/>
      </c>
    </row>
    <row r="40">
      <c r="A40" t="n">
        <v>21</v>
      </c>
      <c r="B40" s="20">
        <f>IF(A40&lt;=$B$5,ROUND($B$15*C40,0),"")</f>
        <v/>
      </c>
      <c r="C40">
        <f>IF(A40&lt;=$B$5,(1+$B$8)^(A40-1),0)</f>
        <v/>
      </c>
      <c r="D40" s="21">
        <f>IF(A40&lt;=$B$5,C40*IF($B$7=0,12,((1+$B$7/12)^12-1)/($B$7/12)*(1+$B$7/12))*(1+$B$7/12)^(12*($B$5-A40)),0)</f>
        <v/>
      </c>
    </row>
    <row r="41">
      <c r="A41" s="22" t="n">
        <v>22</v>
      </c>
      <c r="B41" s="23">
        <f>IF(A41&lt;=$B$5,ROUND($B$15*C41,0),"")</f>
        <v/>
      </c>
      <c r="C41" s="22">
        <f>IF(A41&lt;=$B$5,(1+$B$8)^(A41-1),0)</f>
        <v/>
      </c>
      <c r="D41" s="24">
        <f>IF(A41&lt;=$B$5,C41*IF($B$7=0,12,((1+$B$7/12)^12-1)/($B$7/12)*(1+$B$7/12))*(1+$B$7/12)^(12*($B$5-A41)),0)</f>
        <v/>
      </c>
    </row>
    <row r="42">
      <c r="A42" t="n">
        <v>23</v>
      </c>
      <c r="B42" s="20">
        <f>IF(A42&lt;=$B$5,ROUND($B$15*C42,0),"")</f>
        <v/>
      </c>
      <c r="C42">
        <f>IF(A42&lt;=$B$5,(1+$B$8)^(A42-1),0)</f>
        <v/>
      </c>
      <c r="D42" s="21">
        <f>IF(A42&lt;=$B$5,C42*IF($B$7=0,12,((1+$B$7/12)^12-1)/($B$7/12)*(1+$B$7/12))*(1+$B$7/12)^(12*($B$5-A42)),0)</f>
        <v/>
      </c>
    </row>
    <row r="43">
      <c r="A43" s="22" t="n">
        <v>24</v>
      </c>
      <c r="B43" s="23">
        <f>IF(A43&lt;=$B$5,ROUND($B$15*C43,0),"")</f>
        <v/>
      </c>
      <c r="C43" s="22">
        <f>IF(A43&lt;=$B$5,(1+$B$8)^(A43-1),0)</f>
        <v/>
      </c>
      <c r="D43" s="24">
        <f>IF(A43&lt;=$B$5,C43*IF($B$7=0,12,((1+$B$7/12)^12-1)/($B$7/12)*(1+$B$7/12))*(1+$B$7/12)^(12*($B$5-A43)),0)</f>
        <v/>
      </c>
    </row>
    <row r="44">
      <c r="A44" t="n">
        <v>25</v>
      </c>
      <c r="B44" s="20">
        <f>IF(A44&lt;=$B$5,ROUND($B$15*C44,0),"")</f>
        <v/>
      </c>
      <c r="C44">
        <f>IF(A44&lt;=$B$5,(1+$B$8)^(A44-1),0)</f>
        <v/>
      </c>
      <c r="D44" s="21">
        <f>IF(A44&lt;=$B$5,C44*IF($B$7=0,12,((1+$B$7/12)^12-1)/($B$7/12)*(1+$B$7/12))*(1+$B$7/12)^(12*($B$5-A44)),0)</f>
        <v/>
      </c>
    </row>
    <row r="45">
      <c r="A45" s="22" t="n">
        <v>26</v>
      </c>
      <c r="B45" s="23">
        <f>IF(A45&lt;=$B$5,ROUND($B$15*C45,0),"")</f>
        <v/>
      </c>
      <c r="C45" s="22">
        <f>IF(A45&lt;=$B$5,(1+$B$8)^(A45-1),0)</f>
        <v/>
      </c>
      <c r="D45" s="24">
        <f>IF(A45&lt;=$B$5,C45*IF($B$7=0,12,((1+$B$7/12)^12-1)/($B$7/12)*(1+$B$7/12))*(1+$B$7/12)^(12*($B$5-A45)),0)</f>
        <v/>
      </c>
    </row>
    <row r="46">
      <c r="A46" t="n">
        <v>27</v>
      </c>
      <c r="B46" s="20">
        <f>IF(A46&lt;=$B$5,ROUND($B$15*C46,0),"")</f>
        <v/>
      </c>
      <c r="C46">
        <f>IF(A46&lt;=$B$5,(1+$B$8)^(A46-1),0)</f>
        <v/>
      </c>
      <c r="D46" s="21">
        <f>IF(A46&lt;=$B$5,C46*IF($B$7=0,12,((1+$B$7/12)^12-1)/($B$7/12)*(1+$B$7/12))*(1+$B$7/12)^(12*($B$5-A46)),0)</f>
        <v/>
      </c>
    </row>
    <row r="47">
      <c r="A47" s="22" t="n">
        <v>28</v>
      </c>
      <c r="B47" s="23">
        <f>IF(A47&lt;=$B$5,ROUND($B$15*C47,0),"")</f>
        <v/>
      </c>
      <c r="C47" s="22">
        <f>IF(A47&lt;=$B$5,(1+$B$8)^(A47-1),0)</f>
        <v/>
      </c>
      <c r="D47" s="24">
        <f>IF(A47&lt;=$B$5,C47*IF($B$7=0,12,((1+$B$7/12)^12-1)/($B$7/12)*(1+$B$7/12))*(1+$B$7/12)^(12*($B$5-A47)),0)</f>
        <v/>
      </c>
    </row>
    <row r="48">
      <c r="A48" t="n">
        <v>29</v>
      </c>
      <c r="B48" s="20">
        <f>IF(A48&lt;=$B$5,ROUND($B$15*C48,0),"")</f>
        <v/>
      </c>
      <c r="C48">
        <f>IF(A48&lt;=$B$5,(1+$B$8)^(A48-1),0)</f>
        <v/>
      </c>
      <c r="D48" s="21">
        <f>IF(A48&lt;=$B$5,C48*IF($B$7=0,12,((1+$B$7/12)^12-1)/($B$7/12)*(1+$B$7/12))*(1+$B$7/12)^(12*($B$5-A48)),0)</f>
        <v/>
      </c>
    </row>
    <row r="49">
      <c r="A49" s="22" t="n">
        <v>30</v>
      </c>
      <c r="B49" s="23">
        <f>IF(A49&lt;=$B$5,ROUND($B$15*C49,0),"")</f>
        <v/>
      </c>
      <c r="C49" s="22">
        <f>IF(A49&lt;=$B$5,(1+$B$8)^(A49-1),0)</f>
        <v/>
      </c>
      <c r="D49" s="24">
        <f>IF(A49&lt;=$B$5,C49*IF($B$7=0,12,((1+$B$7/12)^12-1)/($B$7/12)*(1+$B$7/12))*(1+$B$7/12)^(12*($B$5-A49)),0)</f>
        <v/>
      </c>
    </row>
    <row r="50">
      <c r="A50" t="n">
        <v>31</v>
      </c>
      <c r="B50" s="20">
        <f>IF(A50&lt;=$B$5,ROUND($B$15*C50,0),"")</f>
        <v/>
      </c>
      <c r="C50">
        <f>IF(A50&lt;=$B$5,(1+$B$8)^(A50-1),0)</f>
        <v/>
      </c>
      <c r="D50" s="21">
        <f>IF(A50&lt;=$B$5,C50*IF($B$7=0,12,((1+$B$7/12)^12-1)/($B$7/12)*(1+$B$7/12))*(1+$B$7/12)^(12*($B$5-A50)),0)</f>
        <v/>
      </c>
    </row>
    <row r="51">
      <c r="A51" s="22" t="n">
        <v>32</v>
      </c>
      <c r="B51" s="23">
        <f>IF(A51&lt;=$B$5,ROUND($B$15*C51,0),"")</f>
        <v/>
      </c>
      <c r="C51" s="22">
        <f>IF(A51&lt;=$B$5,(1+$B$8)^(A51-1),0)</f>
        <v/>
      </c>
      <c r="D51" s="24">
        <f>IF(A51&lt;=$B$5,C51*IF($B$7=0,12,((1+$B$7/12)^12-1)/($B$7/12)*(1+$B$7/12))*(1+$B$7/12)^(12*($B$5-A51)),0)</f>
        <v/>
      </c>
    </row>
    <row r="52">
      <c r="A52" t="n">
        <v>33</v>
      </c>
      <c r="B52" s="20">
        <f>IF(A52&lt;=$B$5,ROUND($B$15*C52,0),"")</f>
        <v/>
      </c>
      <c r="C52">
        <f>IF(A52&lt;=$B$5,(1+$B$8)^(A52-1),0)</f>
        <v/>
      </c>
      <c r="D52" s="21">
        <f>IF(A52&lt;=$B$5,C52*IF($B$7=0,12,((1+$B$7/12)^12-1)/($B$7/12)*(1+$B$7/12))*(1+$B$7/12)^(12*($B$5-A52)),0)</f>
        <v/>
      </c>
    </row>
    <row r="53">
      <c r="A53" s="22" t="n">
        <v>34</v>
      </c>
      <c r="B53" s="23">
        <f>IF(A53&lt;=$B$5,ROUND($B$15*C53,0),"")</f>
        <v/>
      </c>
      <c r="C53" s="22">
        <f>IF(A53&lt;=$B$5,(1+$B$8)^(A53-1),0)</f>
        <v/>
      </c>
      <c r="D53" s="24">
        <f>IF(A53&lt;=$B$5,C53*IF($B$7=0,12,((1+$B$7/12)^12-1)/($B$7/12)*(1+$B$7/12))*(1+$B$7/12)^(12*($B$5-A53)),0)</f>
        <v/>
      </c>
    </row>
    <row r="54">
      <c r="A54" t="n">
        <v>35</v>
      </c>
      <c r="B54" s="20">
        <f>IF(A54&lt;=$B$5,ROUND($B$15*C54,0),"")</f>
        <v/>
      </c>
      <c r="C54">
        <f>IF(A54&lt;=$B$5,(1+$B$8)^(A54-1),0)</f>
        <v/>
      </c>
      <c r="D54" s="21">
        <f>IF(A54&lt;=$B$5,C54*IF($B$7=0,12,((1+$B$7/12)^12-1)/($B$7/12)*(1+$B$7/12))*(1+$B$7/12)^(12*($B$5-A54)),0)</f>
        <v/>
      </c>
    </row>
    <row r="55">
      <c r="A55" s="22" t="n">
        <v>36</v>
      </c>
      <c r="B55" s="23">
        <f>IF(A55&lt;=$B$5,ROUND($B$15*C55,0),"")</f>
        <v/>
      </c>
      <c r="C55" s="22">
        <f>IF(A55&lt;=$B$5,(1+$B$8)^(A55-1),0)</f>
        <v/>
      </c>
      <c r="D55" s="24">
        <f>IF(A55&lt;=$B$5,C55*IF($B$7=0,12,((1+$B$7/12)^12-1)/($B$7/12)*(1+$B$7/12))*(1+$B$7/12)^(12*($B$5-A55)),0)</f>
        <v/>
      </c>
    </row>
    <row r="56">
      <c r="A56" t="n">
        <v>37</v>
      </c>
      <c r="B56" s="20">
        <f>IF(A56&lt;=$B$5,ROUND($B$15*C56,0),"")</f>
        <v/>
      </c>
      <c r="C56">
        <f>IF(A56&lt;=$B$5,(1+$B$8)^(A56-1),0)</f>
        <v/>
      </c>
      <c r="D56" s="21">
        <f>IF(A56&lt;=$B$5,C56*IF($B$7=0,12,((1+$B$7/12)^12-1)/($B$7/12)*(1+$B$7/12))*(1+$B$7/12)^(12*($B$5-A56)),0)</f>
        <v/>
      </c>
    </row>
    <row r="57">
      <c r="A57" s="22" t="n">
        <v>38</v>
      </c>
      <c r="B57" s="23">
        <f>IF(A57&lt;=$B$5,ROUND($B$15*C57,0),"")</f>
        <v/>
      </c>
      <c r="C57" s="22">
        <f>IF(A57&lt;=$B$5,(1+$B$8)^(A57-1),0)</f>
        <v/>
      </c>
      <c r="D57" s="24">
        <f>IF(A57&lt;=$B$5,C57*IF($B$7=0,12,((1+$B$7/12)^12-1)/($B$7/12)*(1+$B$7/12))*(1+$B$7/12)^(12*($B$5-A57)),0)</f>
        <v/>
      </c>
    </row>
    <row r="58">
      <c r="A58" t="n">
        <v>39</v>
      </c>
      <c r="B58" s="20">
        <f>IF(A58&lt;=$B$5,ROUND($B$15*C58,0),"")</f>
        <v/>
      </c>
      <c r="C58">
        <f>IF(A58&lt;=$B$5,(1+$B$8)^(A58-1),0)</f>
        <v/>
      </c>
      <c r="D58" s="21">
        <f>IF(A58&lt;=$B$5,C58*IF($B$7=0,12,((1+$B$7/12)^12-1)/($B$7/12)*(1+$B$7/12))*(1+$B$7/12)^(12*($B$5-A58)),0)</f>
        <v/>
      </c>
    </row>
    <row r="59">
      <c r="A59" s="22" t="n">
        <v>40</v>
      </c>
      <c r="B59" s="23">
        <f>IF(A59&lt;=$B$5,ROUND($B$15*C59,0),"")</f>
        <v/>
      </c>
      <c r="C59" s="22">
        <f>IF(A59&lt;=$B$5,(1+$B$8)^(A59-1),0)</f>
        <v/>
      </c>
      <c r="D59" s="24">
        <f>IF(A59&lt;=$B$5,C59*IF($B$7=0,12,((1+$B$7/12)^12-1)/($B$7/12)*(1+$B$7/12))*(1+$B$7/12)^(12*($B$5-A59)),0)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Loan EMI and prepayment</t>
        </is>
      </c>
      <c r="B1" s="2" t="n"/>
      <c r="C1" s="2" t="n"/>
      <c r="D1" s="2" t="n"/>
      <c r="E1" s="2" t="n"/>
      <c r="F1" s="2" t="n"/>
    </row>
    <row r="2">
      <c r="A2" s="3" t="inlineStr">
        <is>
          <t>Reducing balance, the way banks calculate it · up to 30 years</t>
        </is>
      </c>
      <c r="B2" s="2" t="n"/>
      <c r="C2" s="2" t="n"/>
      <c r="D2" s="2" t="n"/>
      <c r="E2" s="2" t="n"/>
      <c r="F2" s="2" t="n"/>
    </row>
    <row r="4">
      <c r="A4" s="6" t="inlineStr">
        <is>
          <t>Loan amount (₹)</t>
        </is>
      </c>
      <c r="B4" s="7" t="n">
        <v>3000000</v>
      </c>
    </row>
    <row r="5">
      <c r="A5" s="6" t="inlineStr">
        <is>
          <t>Interest rate a year</t>
        </is>
      </c>
      <c r="B5" s="25" t="n">
        <v>0.08500000000000001</v>
      </c>
    </row>
    <row r="6">
      <c r="A6" s="6" t="inlineStr">
        <is>
          <t>Years</t>
        </is>
      </c>
      <c r="B6" s="15" t="n">
        <v>20</v>
      </c>
    </row>
    <row r="7">
      <c r="A7" s="6" t="inlineStr">
        <is>
          <t>Extra you'll pay every month (₹)</t>
        </is>
      </c>
      <c r="B7" s="7" t="n">
        <v>5000</v>
      </c>
    </row>
    <row r="9">
      <c r="A9" s="6" t="inlineStr">
        <is>
          <t>EMI (₹ a month)</t>
        </is>
      </c>
      <c r="B9" s="10">
        <f>ROUND(PMT(B5/12,B6*12,-B4),0)</f>
        <v/>
      </c>
    </row>
    <row r="10">
      <c r="A10" s="5" t="inlineStr">
        <is>
          <t>Total interest without prepaying (₹)</t>
        </is>
      </c>
      <c r="B10" s="9">
        <f>ROUND(PMT(B5/12,B6*12,-B4)*B6*12-B4,0)</f>
        <v/>
      </c>
    </row>
    <row r="11">
      <c r="A11" s="5" t="inlineStr">
        <is>
          <t>Total interest with the extra payment (₹)</t>
        </is>
      </c>
      <c r="B11" s="9">
        <f>ROUND(SUM(C17:C376),0)</f>
        <v/>
      </c>
    </row>
    <row r="12">
      <c r="A12" s="6" t="inlineStr">
        <is>
          <t>Interest you save (₹)</t>
        </is>
      </c>
      <c r="B12" s="10">
        <f>B10-B11</f>
        <v/>
      </c>
    </row>
    <row r="13">
      <c r="A13" s="5" t="inlineStr">
        <is>
          <t>Months you finish early</t>
        </is>
      </c>
      <c r="B13" s="26">
        <f>B6*12-COUNTIF(C17:C376,"&gt;0")</f>
        <v/>
      </c>
    </row>
    <row r="14">
      <c r="A14" s="14" t="inlineStr">
        <is>
          <t>Prepaying saves the interest above. Investing the extra instead may earn more or less: compare with your SIP tab's assumed return.</t>
        </is>
      </c>
    </row>
    <row r="16">
      <c r="A16" s="19" t="inlineStr">
        <is>
          <t>Month</t>
        </is>
      </c>
      <c r="B16" s="19" t="inlineStr">
        <is>
          <t>Balance at start (₹)</t>
        </is>
      </c>
      <c r="C16" s="19" t="inlineStr">
        <is>
          <t>Interest (₹)</t>
        </is>
      </c>
      <c r="D16" s="19" t="inlineStr">
        <is>
          <t>Balance at end (₹)</t>
        </is>
      </c>
    </row>
    <row r="17">
      <c r="A17" t="n">
        <v>1</v>
      </c>
      <c r="B17" s="20">
        <f>$B$4</f>
        <v/>
      </c>
      <c r="C17" s="20">
        <f>IF(AND(B17&gt;0,A17&lt;=$B$6*12),B17*$B$5/12,0)</f>
        <v/>
      </c>
      <c r="D17" s="20">
        <f>IF(B17&gt;0,MAX(0,B17-(PMT($B$5/12,$B$6*12,-$B$4)-C17+$B$7)),0)</f>
        <v/>
      </c>
    </row>
    <row r="18">
      <c r="A18" t="n">
        <v>2</v>
      </c>
      <c r="B18" s="20">
        <f>D17</f>
        <v/>
      </c>
      <c r="C18" s="20">
        <f>IF(AND(B18&gt;0,A18&lt;=$B$6*12),B18*$B$5/12,0)</f>
        <v/>
      </c>
      <c r="D18" s="20">
        <f>IF(B18&gt;0,MAX(0,B18-(PMT($B$5/12,$B$6*12,-$B$4)-C18+$B$7)),0)</f>
        <v/>
      </c>
    </row>
    <row r="19">
      <c r="A19" t="n">
        <v>3</v>
      </c>
      <c r="B19" s="20">
        <f>D18</f>
        <v/>
      </c>
      <c r="C19" s="20">
        <f>IF(AND(B19&gt;0,A19&lt;=$B$6*12),B19*$B$5/12,0)</f>
        <v/>
      </c>
      <c r="D19" s="20">
        <f>IF(B19&gt;0,MAX(0,B19-(PMT($B$5/12,$B$6*12,-$B$4)-C19+$B$7)),0)</f>
        <v/>
      </c>
    </row>
    <row r="20">
      <c r="A20" t="n">
        <v>4</v>
      </c>
      <c r="B20" s="20">
        <f>D19</f>
        <v/>
      </c>
      <c r="C20" s="20">
        <f>IF(AND(B20&gt;0,A20&lt;=$B$6*12),B20*$B$5/12,0)</f>
        <v/>
      </c>
      <c r="D20" s="20">
        <f>IF(B20&gt;0,MAX(0,B20-(PMT($B$5/12,$B$6*12,-$B$4)-C20+$B$7)),0)</f>
        <v/>
      </c>
    </row>
    <row r="21">
      <c r="A21" t="n">
        <v>5</v>
      </c>
      <c r="B21" s="20">
        <f>D20</f>
        <v/>
      </c>
      <c r="C21" s="20">
        <f>IF(AND(B21&gt;0,A21&lt;=$B$6*12),B21*$B$5/12,0)</f>
        <v/>
      </c>
      <c r="D21" s="20">
        <f>IF(B21&gt;0,MAX(0,B21-(PMT($B$5/12,$B$6*12,-$B$4)-C21+$B$7)),0)</f>
        <v/>
      </c>
    </row>
    <row r="22">
      <c r="A22" t="n">
        <v>6</v>
      </c>
      <c r="B22" s="20">
        <f>D21</f>
        <v/>
      </c>
      <c r="C22" s="20">
        <f>IF(AND(B22&gt;0,A22&lt;=$B$6*12),B22*$B$5/12,0)</f>
        <v/>
      </c>
      <c r="D22" s="20">
        <f>IF(B22&gt;0,MAX(0,B22-(PMT($B$5/12,$B$6*12,-$B$4)-C22+$B$7)),0)</f>
        <v/>
      </c>
    </row>
    <row r="23">
      <c r="A23" t="n">
        <v>7</v>
      </c>
      <c r="B23" s="20">
        <f>D22</f>
        <v/>
      </c>
      <c r="C23" s="20">
        <f>IF(AND(B23&gt;0,A23&lt;=$B$6*12),B23*$B$5/12,0)</f>
        <v/>
      </c>
      <c r="D23" s="20">
        <f>IF(B23&gt;0,MAX(0,B23-(PMT($B$5/12,$B$6*12,-$B$4)-C23+$B$7)),0)</f>
        <v/>
      </c>
    </row>
    <row r="24">
      <c r="A24" t="n">
        <v>8</v>
      </c>
      <c r="B24" s="20">
        <f>D23</f>
        <v/>
      </c>
      <c r="C24" s="20">
        <f>IF(AND(B24&gt;0,A24&lt;=$B$6*12),B24*$B$5/12,0)</f>
        <v/>
      </c>
      <c r="D24" s="20">
        <f>IF(B24&gt;0,MAX(0,B24-(PMT($B$5/12,$B$6*12,-$B$4)-C24+$B$7)),0)</f>
        <v/>
      </c>
    </row>
    <row r="25">
      <c r="A25" t="n">
        <v>9</v>
      </c>
      <c r="B25" s="20">
        <f>D24</f>
        <v/>
      </c>
      <c r="C25" s="20">
        <f>IF(AND(B25&gt;0,A25&lt;=$B$6*12),B25*$B$5/12,0)</f>
        <v/>
      </c>
      <c r="D25" s="20">
        <f>IF(B25&gt;0,MAX(0,B25-(PMT($B$5/12,$B$6*12,-$B$4)-C25+$B$7)),0)</f>
        <v/>
      </c>
    </row>
    <row r="26">
      <c r="A26" t="n">
        <v>10</v>
      </c>
      <c r="B26" s="20">
        <f>D25</f>
        <v/>
      </c>
      <c r="C26" s="20">
        <f>IF(AND(B26&gt;0,A26&lt;=$B$6*12),B26*$B$5/12,0)</f>
        <v/>
      </c>
      <c r="D26" s="20">
        <f>IF(B26&gt;0,MAX(0,B26-(PMT($B$5/12,$B$6*12,-$B$4)-C26+$B$7)),0)</f>
        <v/>
      </c>
    </row>
    <row r="27">
      <c r="A27" t="n">
        <v>11</v>
      </c>
      <c r="B27" s="20">
        <f>D26</f>
        <v/>
      </c>
      <c r="C27" s="20">
        <f>IF(AND(B27&gt;0,A27&lt;=$B$6*12),B27*$B$5/12,0)</f>
        <v/>
      </c>
      <c r="D27" s="20">
        <f>IF(B27&gt;0,MAX(0,B27-(PMT($B$5/12,$B$6*12,-$B$4)-C27+$B$7)),0)</f>
        <v/>
      </c>
    </row>
    <row r="28">
      <c r="A28" t="n">
        <v>12</v>
      </c>
      <c r="B28" s="20">
        <f>D27</f>
        <v/>
      </c>
      <c r="C28" s="20">
        <f>IF(AND(B28&gt;0,A28&lt;=$B$6*12),B28*$B$5/12,0)</f>
        <v/>
      </c>
      <c r="D28" s="20">
        <f>IF(B28&gt;0,MAX(0,B28-(PMT($B$5/12,$B$6*12,-$B$4)-C28+$B$7)),0)</f>
        <v/>
      </c>
    </row>
    <row r="29">
      <c r="A29" t="n">
        <v>13</v>
      </c>
      <c r="B29" s="20">
        <f>D28</f>
        <v/>
      </c>
      <c r="C29" s="20">
        <f>IF(AND(B29&gt;0,A29&lt;=$B$6*12),B29*$B$5/12,0)</f>
        <v/>
      </c>
      <c r="D29" s="20">
        <f>IF(B29&gt;0,MAX(0,B29-(PMT($B$5/12,$B$6*12,-$B$4)-C29+$B$7)),0)</f>
        <v/>
      </c>
    </row>
    <row r="30">
      <c r="A30" t="n">
        <v>14</v>
      </c>
      <c r="B30" s="20">
        <f>D29</f>
        <v/>
      </c>
      <c r="C30" s="20">
        <f>IF(AND(B30&gt;0,A30&lt;=$B$6*12),B30*$B$5/12,0)</f>
        <v/>
      </c>
      <c r="D30" s="20">
        <f>IF(B30&gt;0,MAX(0,B30-(PMT($B$5/12,$B$6*12,-$B$4)-C30+$B$7)),0)</f>
        <v/>
      </c>
    </row>
    <row r="31">
      <c r="A31" t="n">
        <v>15</v>
      </c>
      <c r="B31" s="20">
        <f>D30</f>
        <v/>
      </c>
      <c r="C31" s="20">
        <f>IF(AND(B31&gt;0,A31&lt;=$B$6*12),B31*$B$5/12,0)</f>
        <v/>
      </c>
      <c r="D31" s="20">
        <f>IF(B31&gt;0,MAX(0,B31-(PMT($B$5/12,$B$6*12,-$B$4)-C31+$B$7)),0)</f>
        <v/>
      </c>
    </row>
    <row r="32">
      <c r="A32" t="n">
        <v>16</v>
      </c>
      <c r="B32" s="20">
        <f>D31</f>
        <v/>
      </c>
      <c r="C32" s="20">
        <f>IF(AND(B32&gt;0,A32&lt;=$B$6*12),B32*$B$5/12,0)</f>
        <v/>
      </c>
      <c r="D32" s="20">
        <f>IF(B32&gt;0,MAX(0,B32-(PMT($B$5/12,$B$6*12,-$B$4)-C32+$B$7)),0)</f>
        <v/>
      </c>
    </row>
    <row r="33">
      <c r="A33" t="n">
        <v>17</v>
      </c>
      <c r="B33" s="20">
        <f>D32</f>
        <v/>
      </c>
      <c r="C33" s="20">
        <f>IF(AND(B33&gt;0,A33&lt;=$B$6*12),B33*$B$5/12,0)</f>
        <v/>
      </c>
      <c r="D33" s="20">
        <f>IF(B33&gt;0,MAX(0,B33-(PMT($B$5/12,$B$6*12,-$B$4)-C33+$B$7)),0)</f>
        <v/>
      </c>
    </row>
    <row r="34">
      <c r="A34" t="n">
        <v>18</v>
      </c>
      <c r="B34" s="20">
        <f>D33</f>
        <v/>
      </c>
      <c r="C34" s="20">
        <f>IF(AND(B34&gt;0,A34&lt;=$B$6*12),B34*$B$5/12,0)</f>
        <v/>
      </c>
      <c r="D34" s="20">
        <f>IF(B34&gt;0,MAX(0,B34-(PMT($B$5/12,$B$6*12,-$B$4)-C34+$B$7)),0)</f>
        <v/>
      </c>
    </row>
    <row r="35">
      <c r="A35" t="n">
        <v>19</v>
      </c>
      <c r="B35" s="20">
        <f>D34</f>
        <v/>
      </c>
      <c r="C35" s="20">
        <f>IF(AND(B35&gt;0,A35&lt;=$B$6*12),B35*$B$5/12,0)</f>
        <v/>
      </c>
      <c r="D35" s="20">
        <f>IF(B35&gt;0,MAX(0,B35-(PMT($B$5/12,$B$6*12,-$B$4)-C35+$B$7)),0)</f>
        <v/>
      </c>
    </row>
    <row r="36">
      <c r="A36" t="n">
        <v>20</v>
      </c>
      <c r="B36" s="20">
        <f>D35</f>
        <v/>
      </c>
      <c r="C36" s="20">
        <f>IF(AND(B36&gt;0,A36&lt;=$B$6*12),B36*$B$5/12,0)</f>
        <v/>
      </c>
      <c r="D36" s="20">
        <f>IF(B36&gt;0,MAX(0,B36-(PMT($B$5/12,$B$6*12,-$B$4)-C36+$B$7)),0)</f>
        <v/>
      </c>
    </row>
    <row r="37">
      <c r="A37" t="n">
        <v>21</v>
      </c>
      <c r="B37" s="20">
        <f>D36</f>
        <v/>
      </c>
      <c r="C37" s="20">
        <f>IF(AND(B37&gt;0,A37&lt;=$B$6*12),B37*$B$5/12,0)</f>
        <v/>
      </c>
      <c r="D37" s="20">
        <f>IF(B37&gt;0,MAX(0,B37-(PMT($B$5/12,$B$6*12,-$B$4)-C37+$B$7)),0)</f>
        <v/>
      </c>
    </row>
    <row r="38">
      <c r="A38" t="n">
        <v>22</v>
      </c>
      <c r="B38" s="20">
        <f>D37</f>
        <v/>
      </c>
      <c r="C38" s="20">
        <f>IF(AND(B38&gt;0,A38&lt;=$B$6*12),B38*$B$5/12,0)</f>
        <v/>
      </c>
      <c r="D38" s="20">
        <f>IF(B38&gt;0,MAX(0,B38-(PMT($B$5/12,$B$6*12,-$B$4)-C38+$B$7)),0)</f>
        <v/>
      </c>
    </row>
    <row r="39">
      <c r="A39" t="n">
        <v>23</v>
      </c>
      <c r="B39" s="20">
        <f>D38</f>
        <v/>
      </c>
      <c r="C39" s="20">
        <f>IF(AND(B39&gt;0,A39&lt;=$B$6*12),B39*$B$5/12,0)</f>
        <v/>
      </c>
      <c r="D39" s="20">
        <f>IF(B39&gt;0,MAX(0,B39-(PMT($B$5/12,$B$6*12,-$B$4)-C39+$B$7)),0)</f>
        <v/>
      </c>
    </row>
    <row r="40">
      <c r="A40" t="n">
        <v>24</v>
      </c>
      <c r="B40" s="20">
        <f>D39</f>
        <v/>
      </c>
      <c r="C40" s="20">
        <f>IF(AND(B40&gt;0,A40&lt;=$B$6*12),B40*$B$5/12,0)</f>
        <v/>
      </c>
      <c r="D40" s="20">
        <f>IF(B40&gt;0,MAX(0,B40-(PMT($B$5/12,$B$6*12,-$B$4)-C40+$B$7)),0)</f>
        <v/>
      </c>
    </row>
    <row r="41">
      <c r="A41" t="n">
        <v>25</v>
      </c>
      <c r="B41" s="20">
        <f>D40</f>
        <v/>
      </c>
      <c r="C41" s="20">
        <f>IF(AND(B41&gt;0,A41&lt;=$B$6*12),B41*$B$5/12,0)</f>
        <v/>
      </c>
      <c r="D41" s="20">
        <f>IF(B41&gt;0,MAX(0,B41-(PMT($B$5/12,$B$6*12,-$B$4)-C41+$B$7)),0)</f>
        <v/>
      </c>
    </row>
    <row r="42">
      <c r="A42" t="n">
        <v>26</v>
      </c>
      <c r="B42" s="20">
        <f>D41</f>
        <v/>
      </c>
      <c r="C42" s="20">
        <f>IF(AND(B42&gt;0,A42&lt;=$B$6*12),B42*$B$5/12,0)</f>
        <v/>
      </c>
      <c r="D42" s="20">
        <f>IF(B42&gt;0,MAX(0,B42-(PMT($B$5/12,$B$6*12,-$B$4)-C42+$B$7)),0)</f>
        <v/>
      </c>
    </row>
    <row r="43">
      <c r="A43" t="n">
        <v>27</v>
      </c>
      <c r="B43" s="20">
        <f>D42</f>
        <v/>
      </c>
      <c r="C43" s="20">
        <f>IF(AND(B43&gt;0,A43&lt;=$B$6*12),B43*$B$5/12,0)</f>
        <v/>
      </c>
      <c r="D43" s="20">
        <f>IF(B43&gt;0,MAX(0,B43-(PMT($B$5/12,$B$6*12,-$B$4)-C43+$B$7)),0)</f>
        <v/>
      </c>
    </row>
    <row r="44">
      <c r="A44" t="n">
        <v>28</v>
      </c>
      <c r="B44" s="20">
        <f>D43</f>
        <v/>
      </c>
      <c r="C44" s="20">
        <f>IF(AND(B44&gt;0,A44&lt;=$B$6*12),B44*$B$5/12,0)</f>
        <v/>
      </c>
      <c r="D44" s="20">
        <f>IF(B44&gt;0,MAX(0,B44-(PMT($B$5/12,$B$6*12,-$B$4)-C44+$B$7)),0)</f>
        <v/>
      </c>
    </row>
    <row r="45">
      <c r="A45" t="n">
        <v>29</v>
      </c>
      <c r="B45" s="20">
        <f>D44</f>
        <v/>
      </c>
      <c r="C45" s="20">
        <f>IF(AND(B45&gt;0,A45&lt;=$B$6*12),B45*$B$5/12,0)</f>
        <v/>
      </c>
      <c r="D45" s="20">
        <f>IF(B45&gt;0,MAX(0,B45-(PMT($B$5/12,$B$6*12,-$B$4)-C45+$B$7)),0)</f>
        <v/>
      </c>
    </row>
    <row r="46">
      <c r="A46" t="n">
        <v>30</v>
      </c>
      <c r="B46" s="20">
        <f>D45</f>
        <v/>
      </c>
      <c r="C46" s="20">
        <f>IF(AND(B46&gt;0,A46&lt;=$B$6*12),B46*$B$5/12,0)</f>
        <v/>
      </c>
      <c r="D46" s="20">
        <f>IF(B46&gt;0,MAX(0,B46-(PMT($B$5/12,$B$6*12,-$B$4)-C46+$B$7)),0)</f>
        <v/>
      </c>
    </row>
    <row r="47">
      <c r="A47" t="n">
        <v>31</v>
      </c>
      <c r="B47" s="20">
        <f>D46</f>
        <v/>
      </c>
      <c r="C47" s="20">
        <f>IF(AND(B47&gt;0,A47&lt;=$B$6*12),B47*$B$5/12,0)</f>
        <v/>
      </c>
      <c r="D47" s="20">
        <f>IF(B47&gt;0,MAX(0,B47-(PMT($B$5/12,$B$6*12,-$B$4)-C47+$B$7)),0)</f>
        <v/>
      </c>
    </row>
    <row r="48">
      <c r="A48" t="n">
        <v>32</v>
      </c>
      <c r="B48" s="20">
        <f>D47</f>
        <v/>
      </c>
      <c r="C48" s="20">
        <f>IF(AND(B48&gt;0,A48&lt;=$B$6*12),B48*$B$5/12,0)</f>
        <v/>
      </c>
      <c r="D48" s="20">
        <f>IF(B48&gt;0,MAX(0,B48-(PMT($B$5/12,$B$6*12,-$B$4)-C48+$B$7)),0)</f>
        <v/>
      </c>
    </row>
    <row r="49">
      <c r="A49" t="n">
        <v>33</v>
      </c>
      <c r="B49" s="20">
        <f>D48</f>
        <v/>
      </c>
      <c r="C49" s="20">
        <f>IF(AND(B49&gt;0,A49&lt;=$B$6*12),B49*$B$5/12,0)</f>
        <v/>
      </c>
      <c r="D49" s="20">
        <f>IF(B49&gt;0,MAX(0,B49-(PMT($B$5/12,$B$6*12,-$B$4)-C49+$B$7)),0)</f>
        <v/>
      </c>
    </row>
    <row r="50">
      <c r="A50" t="n">
        <v>34</v>
      </c>
      <c r="B50" s="20">
        <f>D49</f>
        <v/>
      </c>
      <c r="C50" s="20">
        <f>IF(AND(B50&gt;0,A50&lt;=$B$6*12),B50*$B$5/12,0)</f>
        <v/>
      </c>
      <c r="D50" s="20">
        <f>IF(B50&gt;0,MAX(0,B50-(PMT($B$5/12,$B$6*12,-$B$4)-C50+$B$7)),0)</f>
        <v/>
      </c>
    </row>
    <row r="51">
      <c r="A51" t="n">
        <v>35</v>
      </c>
      <c r="B51" s="20">
        <f>D50</f>
        <v/>
      </c>
      <c r="C51" s="20">
        <f>IF(AND(B51&gt;0,A51&lt;=$B$6*12),B51*$B$5/12,0)</f>
        <v/>
      </c>
      <c r="D51" s="20">
        <f>IF(B51&gt;0,MAX(0,B51-(PMT($B$5/12,$B$6*12,-$B$4)-C51+$B$7)),0)</f>
        <v/>
      </c>
    </row>
    <row r="52">
      <c r="A52" t="n">
        <v>36</v>
      </c>
      <c r="B52" s="20">
        <f>D51</f>
        <v/>
      </c>
      <c r="C52" s="20">
        <f>IF(AND(B52&gt;0,A52&lt;=$B$6*12),B52*$B$5/12,0)</f>
        <v/>
      </c>
      <c r="D52" s="20">
        <f>IF(B52&gt;0,MAX(0,B52-(PMT($B$5/12,$B$6*12,-$B$4)-C52+$B$7)),0)</f>
        <v/>
      </c>
    </row>
    <row r="53">
      <c r="A53" t="n">
        <v>37</v>
      </c>
      <c r="B53" s="20">
        <f>D52</f>
        <v/>
      </c>
      <c r="C53" s="20">
        <f>IF(AND(B53&gt;0,A53&lt;=$B$6*12),B53*$B$5/12,0)</f>
        <v/>
      </c>
      <c r="D53" s="20">
        <f>IF(B53&gt;0,MAX(0,B53-(PMT($B$5/12,$B$6*12,-$B$4)-C53+$B$7)),0)</f>
        <v/>
      </c>
    </row>
    <row r="54">
      <c r="A54" t="n">
        <v>38</v>
      </c>
      <c r="B54" s="20">
        <f>D53</f>
        <v/>
      </c>
      <c r="C54" s="20">
        <f>IF(AND(B54&gt;0,A54&lt;=$B$6*12),B54*$B$5/12,0)</f>
        <v/>
      </c>
      <c r="D54" s="20">
        <f>IF(B54&gt;0,MAX(0,B54-(PMT($B$5/12,$B$6*12,-$B$4)-C54+$B$7)),0)</f>
        <v/>
      </c>
    </row>
    <row r="55">
      <c r="A55" t="n">
        <v>39</v>
      </c>
      <c r="B55" s="20">
        <f>D54</f>
        <v/>
      </c>
      <c r="C55" s="20">
        <f>IF(AND(B55&gt;0,A55&lt;=$B$6*12),B55*$B$5/12,0)</f>
        <v/>
      </c>
      <c r="D55" s="20">
        <f>IF(B55&gt;0,MAX(0,B55-(PMT($B$5/12,$B$6*12,-$B$4)-C55+$B$7)),0)</f>
        <v/>
      </c>
    </row>
    <row r="56">
      <c r="A56" t="n">
        <v>40</v>
      </c>
      <c r="B56" s="20">
        <f>D55</f>
        <v/>
      </c>
      <c r="C56" s="20">
        <f>IF(AND(B56&gt;0,A56&lt;=$B$6*12),B56*$B$5/12,0)</f>
        <v/>
      </c>
      <c r="D56" s="20">
        <f>IF(B56&gt;0,MAX(0,B56-(PMT($B$5/12,$B$6*12,-$B$4)-C56+$B$7)),0)</f>
        <v/>
      </c>
    </row>
    <row r="57">
      <c r="A57" t="n">
        <v>41</v>
      </c>
      <c r="B57" s="20">
        <f>D56</f>
        <v/>
      </c>
      <c r="C57" s="20">
        <f>IF(AND(B57&gt;0,A57&lt;=$B$6*12),B57*$B$5/12,0)</f>
        <v/>
      </c>
      <c r="D57" s="20">
        <f>IF(B57&gt;0,MAX(0,B57-(PMT($B$5/12,$B$6*12,-$B$4)-C57+$B$7)),0)</f>
        <v/>
      </c>
    </row>
    <row r="58">
      <c r="A58" t="n">
        <v>42</v>
      </c>
      <c r="B58" s="20">
        <f>D57</f>
        <v/>
      </c>
      <c r="C58" s="20">
        <f>IF(AND(B58&gt;0,A58&lt;=$B$6*12),B58*$B$5/12,0)</f>
        <v/>
      </c>
      <c r="D58" s="20">
        <f>IF(B58&gt;0,MAX(0,B58-(PMT($B$5/12,$B$6*12,-$B$4)-C58+$B$7)),0)</f>
        <v/>
      </c>
    </row>
    <row r="59">
      <c r="A59" t="n">
        <v>43</v>
      </c>
      <c r="B59" s="20">
        <f>D58</f>
        <v/>
      </c>
      <c r="C59" s="20">
        <f>IF(AND(B59&gt;0,A59&lt;=$B$6*12),B59*$B$5/12,0)</f>
        <v/>
      </c>
      <c r="D59" s="20">
        <f>IF(B59&gt;0,MAX(0,B59-(PMT($B$5/12,$B$6*12,-$B$4)-C59+$B$7)),0)</f>
        <v/>
      </c>
    </row>
    <row r="60">
      <c r="A60" t="n">
        <v>44</v>
      </c>
      <c r="B60" s="20">
        <f>D59</f>
        <v/>
      </c>
      <c r="C60" s="20">
        <f>IF(AND(B60&gt;0,A60&lt;=$B$6*12),B60*$B$5/12,0)</f>
        <v/>
      </c>
      <c r="D60" s="20">
        <f>IF(B60&gt;0,MAX(0,B60-(PMT($B$5/12,$B$6*12,-$B$4)-C60+$B$7)),0)</f>
        <v/>
      </c>
    </row>
    <row r="61">
      <c r="A61" t="n">
        <v>45</v>
      </c>
      <c r="B61" s="20">
        <f>D60</f>
        <v/>
      </c>
      <c r="C61" s="20">
        <f>IF(AND(B61&gt;0,A61&lt;=$B$6*12),B61*$B$5/12,0)</f>
        <v/>
      </c>
      <c r="D61" s="20">
        <f>IF(B61&gt;0,MAX(0,B61-(PMT($B$5/12,$B$6*12,-$B$4)-C61+$B$7)),0)</f>
        <v/>
      </c>
    </row>
    <row r="62">
      <c r="A62" t="n">
        <v>46</v>
      </c>
      <c r="B62" s="20">
        <f>D61</f>
        <v/>
      </c>
      <c r="C62" s="20">
        <f>IF(AND(B62&gt;0,A62&lt;=$B$6*12),B62*$B$5/12,0)</f>
        <v/>
      </c>
      <c r="D62" s="20">
        <f>IF(B62&gt;0,MAX(0,B62-(PMT($B$5/12,$B$6*12,-$B$4)-C62+$B$7)),0)</f>
        <v/>
      </c>
    </row>
    <row r="63">
      <c r="A63" t="n">
        <v>47</v>
      </c>
      <c r="B63" s="20">
        <f>D62</f>
        <v/>
      </c>
      <c r="C63" s="20">
        <f>IF(AND(B63&gt;0,A63&lt;=$B$6*12),B63*$B$5/12,0)</f>
        <v/>
      </c>
      <c r="D63" s="20">
        <f>IF(B63&gt;0,MAX(0,B63-(PMT($B$5/12,$B$6*12,-$B$4)-C63+$B$7)),0)</f>
        <v/>
      </c>
    </row>
    <row r="64">
      <c r="A64" t="n">
        <v>48</v>
      </c>
      <c r="B64" s="20">
        <f>D63</f>
        <v/>
      </c>
      <c r="C64" s="20">
        <f>IF(AND(B64&gt;0,A64&lt;=$B$6*12),B64*$B$5/12,0)</f>
        <v/>
      </c>
      <c r="D64" s="20">
        <f>IF(B64&gt;0,MAX(0,B64-(PMT($B$5/12,$B$6*12,-$B$4)-C64+$B$7)),0)</f>
        <v/>
      </c>
    </row>
    <row r="65">
      <c r="A65" t="n">
        <v>49</v>
      </c>
      <c r="B65" s="20">
        <f>D64</f>
        <v/>
      </c>
      <c r="C65" s="20">
        <f>IF(AND(B65&gt;0,A65&lt;=$B$6*12),B65*$B$5/12,0)</f>
        <v/>
      </c>
      <c r="D65" s="20">
        <f>IF(B65&gt;0,MAX(0,B65-(PMT($B$5/12,$B$6*12,-$B$4)-C65+$B$7)),0)</f>
        <v/>
      </c>
    </row>
    <row r="66">
      <c r="A66" t="n">
        <v>50</v>
      </c>
      <c r="B66" s="20">
        <f>D65</f>
        <v/>
      </c>
      <c r="C66" s="20">
        <f>IF(AND(B66&gt;0,A66&lt;=$B$6*12),B66*$B$5/12,0)</f>
        <v/>
      </c>
      <c r="D66" s="20">
        <f>IF(B66&gt;0,MAX(0,B66-(PMT($B$5/12,$B$6*12,-$B$4)-C66+$B$7)),0)</f>
        <v/>
      </c>
    </row>
    <row r="67">
      <c r="A67" t="n">
        <v>51</v>
      </c>
      <c r="B67" s="20">
        <f>D66</f>
        <v/>
      </c>
      <c r="C67" s="20">
        <f>IF(AND(B67&gt;0,A67&lt;=$B$6*12),B67*$B$5/12,0)</f>
        <v/>
      </c>
      <c r="D67" s="20">
        <f>IF(B67&gt;0,MAX(0,B67-(PMT($B$5/12,$B$6*12,-$B$4)-C67+$B$7)),0)</f>
        <v/>
      </c>
    </row>
    <row r="68">
      <c r="A68" t="n">
        <v>52</v>
      </c>
      <c r="B68" s="20">
        <f>D67</f>
        <v/>
      </c>
      <c r="C68" s="20">
        <f>IF(AND(B68&gt;0,A68&lt;=$B$6*12),B68*$B$5/12,0)</f>
        <v/>
      </c>
      <c r="D68" s="20">
        <f>IF(B68&gt;0,MAX(0,B68-(PMT($B$5/12,$B$6*12,-$B$4)-C68+$B$7)),0)</f>
        <v/>
      </c>
    </row>
    <row r="69">
      <c r="A69" t="n">
        <v>53</v>
      </c>
      <c r="B69" s="20">
        <f>D68</f>
        <v/>
      </c>
      <c r="C69" s="20">
        <f>IF(AND(B69&gt;0,A69&lt;=$B$6*12),B69*$B$5/12,0)</f>
        <v/>
      </c>
      <c r="D69" s="20">
        <f>IF(B69&gt;0,MAX(0,B69-(PMT($B$5/12,$B$6*12,-$B$4)-C69+$B$7)),0)</f>
        <v/>
      </c>
    </row>
    <row r="70">
      <c r="A70" t="n">
        <v>54</v>
      </c>
      <c r="B70" s="20">
        <f>D69</f>
        <v/>
      </c>
      <c r="C70" s="20">
        <f>IF(AND(B70&gt;0,A70&lt;=$B$6*12),B70*$B$5/12,0)</f>
        <v/>
      </c>
      <c r="D70" s="20">
        <f>IF(B70&gt;0,MAX(0,B70-(PMT($B$5/12,$B$6*12,-$B$4)-C70+$B$7)),0)</f>
        <v/>
      </c>
    </row>
    <row r="71">
      <c r="A71" t="n">
        <v>55</v>
      </c>
      <c r="B71" s="20">
        <f>D70</f>
        <v/>
      </c>
      <c r="C71" s="20">
        <f>IF(AND(B71&gt;0,A71&lt;=$B$6*12),B71*$B$5/12,0)</f>
        <v/>
      </c>
      <c r="D71" s="20">
        <f>IF(B71&gt;0,MAX(0,B71-(PMT($B$5/12,$B$6*12,-$B$4)-C71+$B$7)),0)</f>
        <v/>
      </c>
    </row>
    <row r="72">
      <c r="A72" t="n">
        <v>56</v>
      </c>
      <c r="B72" s="20">
        <f>D71</f>
        <v/>
      </c>
      <c r="C72" s="20">
        <f>IF(AND(B72&gt;0,A72&lt;=$B$6*12),B72*$B$5/12,0)</f>
        <v/>
      </c>
      <c r="D72" s="20">
        <f>IF(B72&gt;0,MAX(0,B72-(PMT($B$5/12,$B$6*12,-$B$4)-C72+$B$7)),0)</f>
        <v/>
      </c>
    </row>
    <row r="73">
      <c r="A73" t="n">
        <v>57</v>
      </c>
      <c r="B73" s="20">
        <f>D72</f>
        <v/>
      </c>
      <c r="C73" s="20">
        <f>IF(AND(B73&gt;0,A73&lt;=$B$6*12),B73*$B$5/12,0)</f>
        <v/>
      </c>
      <c r="D73" s="20">
        <f>IF(B73&gt;0,MAX(0,B73-(PMT($B$5/12,$B$6*12,-$B$4)-C73+$B$7)),0)</f>
        <v/>
      </c>
    </row>
    <row r="74">
      <c r="A74" t="n">
        <v>58</v>
      </c>
      <c r="B74" s="20">
        <f>D73</f>
        <v/>
      </c>
      <c r="C74" s="20">
        <f>IF(AND(B74&gt;0,A74&lt;=$B$6*12),B74*$B$5/12,0)</f>
        <v/>
      </c>
      <c r="D74" s="20">
        <f>IF(B74&gt;0,MAX(0,B74-(PMT($B$5/12,$B$6*12,-$B$4)-C74+$B$7)),0)</f>
        <v/>
      </c>
    </row>
    <row r="75">
      <c r="A75" t="n">
        <v>59</v>
      </c>
      <c r="B75" s="20">
        <f>D74</f>
        <v/>
      </c>
      <c r="C75" s="20">
        <f>IF(AND(B75&gt;0,A75&lt;=$B$6*12),B75*$B$5/12,0)</f>
        <v/>
      </c>
      <c r="D75" s="20">
        <f>IF(B75&gt;0,MAX(0,B75-(PMT($B$5/12,$B$6*12,-$B$4)-C75+$B$7)),0)</f>
        <v/>
      </c>
    </row>
    <row r="76">
      <c r="A76" t="n">
        <v>60</v>
      </c>
      <c r="B76" s="20">
        <f>D75</f>
        <v/>
      </c>
      <c r="C76" s="20">
        <f>IF(AND(B76&gt;0,A76&lt;=$B$6*12),B76*$B$5/12,0)</f>
        <v/>
      </c>
      <c r="D76" s="20">
        <f>IF(B76&gt;0,MAX(0,B76-(PMT($B$5/12,$B$6*12,-$B$4)-C76+$B$7)),0)</f>
        <v/>
      </c>
    </row>
    <row r="77">
      <c r="A77" t="n">
        <v>61</v>
      </c>
      <c r="B77" s="20">
        <f>D76</f>
        <v/>
      </c>
      <c r="C77" s="20">
        <f>IF(AND(B77&gt;0,A77&lt;=$B$6*12),B77*$B$5/12,0)</f>
        <v/>
      </c>
      <c r="D77" s="20">
        <f>IF(B77&gt;0,MAX(0,B77-(PMT($B$5/12,$B$6*12,-$B$4)-C77+$B$7)),0)</f>
        <v/>
      </c>
    </row>
    <row r="78">
      <c r="A78" t="n">
        <v>62</v>
      </c>
      <c r="B78" s="20">
        <f>D77</f>
        <v/>
      </c>
      <c r="C78" s="20">
        <f>IF(AND(B78&gt;0,A78&lt;=$B$6*12),B78*$B$5/12,0)</f>
        <v/>
      </c>
      <c r="D78" s="20">
        <f>IF(B78&gt;0,MAX(0,B78-(PMT($B$5/12,$B$6*12,-$B$4)-C78+$B$7)),0)</f>
        <v/>
      </c>
    </row>
    <row r="79">
      <c r="A79" t="n">
        <v>63</v>
      </c>
      <c r="B79" s="20">
        <f>D78</f>
        <v/>
      </c>
      <c r="C79" s="20">
        <f>IF(AND(B79&gt;0,A79&lt;=$B$6*12),B79*$B$5/12,0)</f>
        <v/>
      </c>
      <c r="D79" s="20">
        <f>IF(B79&gt;0,MAX(0,B79-(PMT($B$5/12,$B$6*12,-$B$4)-C79+$B$7)),0)</f>
        <v/>
      </c>
    </row>
    <row r="80">
      <c r="A80" t="n">
        <v>64</v>
      </c>
      <c r="B80" s="20">
        <f>D79</f>
        <v/>
      </c>
      <c r="C80" s="20">
        <f>IF(AND(B80&gt;0,A80&lt;=$B$6*12),B80*$B$5/12,0)</f>
        <v/>
      </c>
      <c r="D80" s="20">
        <f>IF(B80&gt;0,MAX(0,B80-(PMT($B$5/12,$B$6*12,-$B$4)-C80+$B$7)),0)</f>
        <v/>
      </c>
    </row>
    <row r="81">
      <c r="A81" t="n">
        <v>65</v>
      </c>
      <c r="B81" s="20">
        <f>D80</f>
        <v/>
      </c>
      <c r="C81" s="20">
        <f>IF(AND(B81&gt;0,A81&lt;=$B$6*12),B81*$B$5/12,0)</f>
        <v/>
      </c>
      <c r="D81" s="20">
        <f>IF(B81&gt;0,MAX(0,B81-(PMT($B$5/12,$B$6*12,-$B$4)-C81+$B$7)),0)</f>
        <v/>
      </c>
    </row>
    <row r="82">
      <c r="A82" t="n">
        <v>66</v>
      </c>
      <c r="B82" s="20">
        <f>D81</f>
        <v/>
      </c>
      <c r="C82" s="20">
        <f>IF(AND(B82&gt;0,A82&lt;=$B$6*12),B82*$B$5/12,0)</f>
        <v/>
      </c>
      <c r="D82" s="20">
        <f>IF(B82&gt;0,MAX(0,B82-(PMT($B$5/12,$B$6*12,-$B$4)-C82+$B$7)),0)</f>
        <v/>
      </c>
    </row>
    <row r="83">
      <c r="A83" t="n">
        <v>67</v>
      </c>
      <c r="B83" s="20">
        <f>D82</f>
        <v/>
      </c>
      <c r="C83" s="20">
        <f>IF(AND(B83&gt;0,A83&lt;=$B$6*12),B83*$B$5/12,0)</f>
        <v/>
      </c>
      <c r="D83" s="20">
        <f>IF(B83&gt;0,MAX(0,B83-(PMT($B$5/12,$B$6*12,-$B$4)-C83+$B$7)),0)</f>
        <v/>
      </c>
    </row>
    <row r="84">
      <c r="A84" t="n">
        <v>68</v>
      </c>
      <c r="B84" s="20">
        <f>D83</f>
        <v/>
      </c>
      <c r="C84" s="20">
        <f>IF(AND(B84&gt;0,A84&lt;=$B$6*12),B84*$B$5/12,0)</f>
        <v/>
      </c>
      <c r="D84" s="20">
        <f>IF(B84&gt;0,MAX(0,B84-(PMT($B$5/12,$B$6*12,-$B$4)-C84+$B$7)),0)</f>
        <v/>
      </c>
    </row>
    <row r="85">
      <c r="A85" t="n">
        <v>69</v>
      </c>
      <c r="B85" s="20">
        <f>D84</f>
        <v/>
      </c>
      <c r="C85" s="20">
        <f>IF(AND(B85&gt;0,A85&lt;=$B$6*12),B85*$B$5/12,0)</f>
        <v/>
      </c>
      <c r="D85" s="20">
        <f>IF(B85&gt;0,MAX(0,B85-(PMT($B$5/12,$B$6*12,-$B$4)-C85+$B$7)),0)</f>
        <v/>
      </c>
    </row>
    <row r="86">
      <c r="A86" t="n">
        <v>70</v>
      </c>
      <c r="B86" s="20">
        <f>D85</f>
        <v/>
      </c>
      <c r="C86" s="20">
        <f>IF(AND(B86&gt;0,A86&lt;=$B$6*12),B86*$B$5/12,0)</f>
        <v/>
      </c>
      <c r="D86" s="20">
        <f>IF(B86&gt;0,MAX(0,B86-(PMT($B$5/12,$B$6*12,-$B$4)-C86+$B$7)),0)</f>
        <v/>
      </c>
    </row>
    <row r="87">
      <c r="A87" t="n">
        <v>71</v>
      </c>
      <c r="B87" s="20">
        <f>D86</f>
        <v/>
      </c>
      <c r="C87" s="20">
        <f>IF(AND(B87&gt;0,A87&lt;=$B$6*12),B87*$B$5/12,0)</f>
        <v/>
      </c>
      <c r="D87" s="20">
        <f>IF(B87&gt;0,MAX(0,B87-(PMT($B$5/12,$B$6*12,-$B$4)-C87+$B$7)),0)</f>
        <v/>
      </c>
    </row>
    <row r="88">
      <c r="A88" t="n">
        <v>72</v>
      </c>
      <c r="B88" s="20">
        <f>D87</f>
        <v/>
      </c>
      <c r="C88" s="20">
        <f>IF(AND(B88&gt;0,A88&lt;=$B$6*12),B88*$B$5/12,0)</f>
        <v/>
      </c>
      <c r="D88" s="20">
        <f>IF(B88&gt;0,MAX(0,B88-(PMT($B$5/12,$B$6*12,-$B$4)-C88+$B$7)),0)</f>
        <v/>
      </c>
    </row>
    <row r="89">
      <c r="A89" t="n">
        <v>73</v>
      </c>
      <c r="B89" s="20">
        <f>D88</f>
        <v/>
      </c>
      <c r="C89" s="20">
        <f>IF(AND(B89&gt;0,A89&lt;=$B$6*12),B89*$B$5/12,0)</f>
        <v/>
      </c>
      <c r="D89" s="20">
        <f>IF(B89&gt;0,MAX(0,B89-(PMT($B$5/12,$B$6*12,-$B$4)-C89+$B$7)),0)</f>
        <v/>
      </c>
    </row>
    <row r="90">
      <c r="A90" t="n">
        <v>74</v>
      </c>
      <c r="B90" s="20">
        <f>D89</f>
        <v/>
      </c>
      <c r="C90" s="20">
        <f>IF(AND(B90&gt;0,A90&lt;=$B$6*12),B90*$B$5/12,0)</f>
        <v/>
      </c>
      <c r="D90" s="20">
        <f>IF(B90&gt;0,MAX(0,B90-(PMT($B$5/12,$B$6*12,-$B$4)-C90+$B$7)),0)</f>
        <v/>
      </c>
    </row>
    <row r="91">
      <c r="A91" t="n">
        <v>75</v>
      </c>
      <c r="B91" s="20">
        <f>D90</f>
        <v/>
      </c>
      <c r="C91" s="20">
        <f>IF(AND(B91&gt;0,A91&lt;=$B$6*12),B91*$B$5/12,0)</f>
        <v/>
      </c>
      <c r="D91" s="20">
        <f>IF(B91&gt;0,MAX(0,B91-(PMT($B$5/12,$B$6*12,-$B$4)-C91+$B$7)),0)</f>
        <v/>
      </c>
    </row>
    <row r="92">
      <c r="A92" t="n">
        <v>76</v>
      </c>
      <c r="B92" s="20">
        <f>D91</f>
        <v/>
      </c>
      <c r="C92" s="20">
        <f>IF(AND(B92&gt;0,A92&lt;=$B$6*12),B92*$B$5/12,0)</f>
        <v/>
      </c>
      <c r="D92" s="20">
        <f>IF(B92&gt;0,MAX(0,B92-(PMT($B$5/12,$B$6*12,-$B$4)-C92+$B$7)),0)</f>
        <v/>
      </c>
    </row>
    <row r="93">
      <c r="A93" t="n">
        <v>77</v>
      </c>
      <c r="B93" s="20">
        <f>D92</f>
        <v/>
      </c>
      <c r="C93" s="20">
        <f>IF(AND(B93&gt;0,A93&lt;=$B$6*12),B93*$B$5/12,0)</f>
        <v/>
      </c>
      <c r="D93" s="20">
        <f>IF(B93&gt;0,MAX(0,B93-(PMT($B$5/12,$B$6*12,-$B$4)-C93+$B$7)),0)</f>
        <v/>
      </c>
    </row>
    <row r="94">
      <c r="A94" t="n">
        <v>78</v>
      </c>
      <c r="B94" s="20">
        <f>D93</f>
        <v/>
      </c>
      <c r="C94" s="20">
        <f>IF(AND(B94&gt;0,A94&lt;=$B$6*12),B94*$B$5/12,0)</f>
        <v/>
      </c>
      <c r="D94" s="20">
        <f>IF(B94&gt;0,MAX(0,B94-(PMT($B$5/12,$B$6*12,-$B$4)-C94+$B$7)),0)</f>
        <v/>
      </c>
    </row>
    <row r="95">
      <c r="A95" t="n">
        <v>79</v>
      </c>
      <c r="B95" s="20">
        <f>D94</f>
        <v/>
      </c>
      <c r="C95" s="20">
        <f>IF(AND(B95&gt;0,A95&lt;=$B$6*12),B95*$B$5/12,0)</f>
        <v/>
      </c>
      <c r="D95" s="20">
        <f>IF(B95&gt;0,MAX(0,B95-(PMT($B$5/12,$B$6*12,-$B$4)-C95+$B$7)),0)</f>
        <v/>
      </c>
    </row>
    <row r="96">
      <c r="A96" t="n">
        <v>80</v>
      </c>
      <c r="B96" s="20">
        <f>D95</f>
        <v/>
      </c>
      <c r="C96" s="20">
        <f>IF(AND(B96&gt;0,A96&lt;=$B$6*12),B96*$B$5/12,0)</f>
        <v/>
      </c>
      <c r="D96" s="20">
        <f>IF(B96&gt;0,MAX(0,B96-(PMT($B$5/12,$B$6*12,-$B$4)-C96+$B$7)),0)</f>
        <v/>
      </c>
    </row>
    <row r="97">
      <c r="A97" t="n">
        <v>81</v>
      </c>
      <c r="B97" s="20">
        <f>D96</f>
        <v/>
      </c>
      <c r="C97" s="20">
        <f>IF(AND(B97&gt;0,A97&lt;=$B$6*12),B97*$B$5/12,0)</f>
        <v/>
      </c>
      <c r="D97" s="20">
        <f>IF(B97&gt;0,MAX(0,B97-(PMT($B$5/12,$B$6*12,-$B$4)-C97+$B$7)),0)</f>
        <v/>
      </c>
    </row>
    <row r="98">
      <c r="A98" t="n">
        <v>82</v>
      </c>
      <c r="B98" s="20">
        <f>D97</f>
        <v/>
      </c>
      <c r="C98" s="20">
        <f>IF(AND(B98&gt;0,A98&lt;=$B$6*12),B98*$B$5/12,0)</f>
        <v/>
      </c>
      <c r="D98" s="20">
        <f>IF(B98&gt;0,MAX(0,B98-(PMT($B$5/12,$B$6*12,-$B$4)-C98+$B$7)),0)</f>
        <v/>
      </c>
    </row>
    <row r="99">
      <c r="A99" t="n">
        <v>83</v>
      </c>
      <c r="B99" s="20">
        <f>D98</f>
        <v/>
      </c>
      <c r="C99" s="20">
        <f>IF(AND(B99&gt;0,A99&lt;=$B$6*12),B99*$B$5/12,0)</f>
        <v/>
      </c>
      <c r="D99" s="20">
        <f>IF(B99&gt;0,MAX(0,B99-(PMT($B$5/12,$B$6*12,-$B$4)-C99+$B$7)),0)</f>
        <v/>
      </c>
    </row>
    <row r="100">
      <c r="A100" t="n">
        <v>84</v>
      </c>
      <c r="B100" s="20">
        <f>D99</f>
        <v/>
      </c>
      <c r="C100" s="20">
        <f>IF(AND(B100&gt;0,A100&lt;=$B$6*12),B100*$B$5/12,0)</f>
        <v/>
      </c>
      <c r="D100" s="20">
        <f>IF(B100&gt;0,MAX(0,B100-(PMT($B$5/12,$B$6*12,-$B$4)-C100+$B$7)),0)</f>
        <v/>
      </c>
    </row>
    <row r="101">
      <c r="A101" t="n">
        <v>85</v>
      </c>
      <c r="B101" s="20">
        <f>D100</f>
        <v/>
      </c>
      <c r="C101" s="20">
        <f>IF(AND(B101&gt;0,A101&lt;=$B$6*12),B101*$B$5/12,0)</f>
        <v/>
      </c>
      <c r="D101" s="20">
        <f>IF(B101&gt;0,MAX(0,B101-(PMT($B$5/12,$B$6*12,-$B$4)-C101+$B$7)),0)</f>
        <v/>
      </c>
    </row>
    <row r="102">
      <c r="A102" t="n">
        <v>86</v>
      </c>
      <c r="B102" s="20">
        <f>D101</f>
        <v/>
      </c>
      <c r="C102" s="20">
        <f>IF(AND(B102&gt;0,A102&lt;=$B$6*12),B102*$B$5/12,0)</f>
        <v/>
      </c>
      <c r="D102" s="20">
        <f>IF(B102&gt;0,MAX(0,B102-(PMT($B$5/12,$B$6*12,-$B$4)-C102+$B$7)),0)</f>
        <v/>
      </c>
    </row>
    <row r="103">
      <c r="A103" t="n">
        <v>87</v>
      </c>
      <c r="B103" s="20">
        <f>D102</f>
        <v/>
      </c>
      <c r="C103" s="20">
        <f>IF(AND(B103&gt;0,A103&lt;=$B$6*12),B103*$B$5/12,0)</f>
        <v/>
      </c>
      <c r="D103" s="20">
        <f>IF(B103&gt;0,MAX(0,B103-(PMT($B$5/12,$B$6*12,-$B$4)-C103+$B$7)),0)</f>
        <v/>
      </c>
    </row>
    <row r="104">
      <c r="A104" t="n">
        <v>88</v>
      </c>
      <c r="B104" s="20">
        <f>D103</f>
        <v/>
      </c>
      <c r="C104" s="20">
        <f>IF(AND(B104&gt;0,A104&lt;=$B$6*12),B104*$B$5/12,0)</f>
        <v/>
      </c>
      <c r="D104" s="20">
        <f>IF(B104&gt;0,MAX(0,B104-(PMT($B$5/12,$B$6*12,-$B$4)-C104+$B$7)),0)</f>
        <v/>
      </c>
    </row>
    <row r="105">
      <c r="A105" t="n">
        <v>89</v>
      </c>
      <c r="B105" s="20">
        <f>D104</f>
        <v/>
      </c>
      <c r="C105" s="20">
        <f>IF(AND(B105&gt;0,A105&lt;=$B$6*12),B105*$B$5/12,0)</f>
        <v/>
      </c>
      <c r="D105" s="20">
        <f>IF(B105&gt;0,MAX(0,B105-(PMT($B$5/12,$B$6*12,-$B$4)-C105+$B$7)),0)</f>
        <v/>
      </c>
    </row>
    <row r="106">
      <c r="A106" t="n">
        <v>90</v>
      </c>
      <c r="B106" s="20">
        <f>D105</f>
        <v/>
      </c>
      <c r="C106" s="20">
        <f>IF(AND(B106&gt;0,A106&lt;=$B$6*12),B106*$B$5/12,0)</f>
        <v/>
      </c>
      <c r="D106" s="20">
        <f>IF(B106&gt;0,MAX(0,B106-(PMT($B$5/12,$B$6*12,-$B$4)-C106+$B$7)),0)</f>
        <v/>
      </c>
    </row>
    <row r="107">
      <c r="A107" t="n">
        <v>91</v>
      </c>
      <c r="B107" s="20">
        <f>D106</f>
        <v/>
      </c>
      <c r="C107" s="20">
        <f>IF(AND(B107&gt;0,A107&lt;=$B$6*12),B107*$B$5/12,0)</f>
        <v/>
      </c>
      <c r="D107" s="20">
        <f>IF(B107&gt;0,MAX(0,B107-(PMT($B$5/12,$B$6*12,-$B$4)-C107+$B$7)),0)</f>
        <v/>
      </c>
    </row>
    <row r="108">
      <c r="A108" t="n">
        <v>92</v>
      </c>
      <c r="B108" s="20">
        <f>D107</f>
        <v/>
      </c>
      <c r="C108" s="20">
        <f>IF(AND(B108&gt;0,A108&lt;=$B$6*12),B108*$B$5/12,0)</f>
        <v/>
      </c>
      <c r="D108" s="20">
        <f>IF(B108&gt;0,MAX(0,B108-(PMT($B$5/12,$B$6*12,-$B$4)-C108+$B$7)),0)</f>
        <v/>
      </c>
    </row>
    <row r="109">
      <c r="A109" t="n">
        <v>93</v>
      </c>
      <c r="B109" s="20">
        <f>D108</f>
        <v/>
      </c>
      <c r="C109" s="20">
        <f>IF(AND(B109&gt;0,A109&lt;=$B$6*12),B109*$B$5/12,0)</f>
        <v/>
      </c>
      <c r="D109" s="20">
        <f>IF(B109&gt;0,MAX(0,B109-(PMT($B$5/12,$B$6*12,-$B$4)-C109+$B$7)),0)</f>
        <v/>
      </c>
    </row>
    <row r="110">
      <c r="A110" t="n">
        <v>94</v>
      </c>
      <c r="B110" s="20">
        <f>D109</f>
        <v/>
      </c>
      <c r="C110" s="20">
        <f>IF(AND(B110&gt;0,A110&lt;=$B$6*12),B110*$B$5/12,0)</f>
        <v/>
      </c>
      <c r="D110" s="20">
        <f>IF(B110&gt;0,MAX(0,B110-(PMT($B$5/12,$B$6*12,-$B$4)-C110+$B$7)),0)</f>
        <v/>
      </c>
    </row>
    <row r="111">
      <c r="A111" t="n">
        <v>95</v>
      </c>
      <c r="B111" s="20">
        <f>D110</f>
        <v/>
      </c>
      <c r="C111" s="20">
        <f>IF(AND(B111&gt;0,A111&lt;=$B$6*12),B111*$B$5/12,0)</f>
        <v/>
      </c>
      <c r="D111" s="20">
        <f>IF(B111&gt;0,MAX(0,B111-(PMT($B$5/12,$B$6*12,-$B$4)-C111+$B$7)),0)</f>
        <v/>
      </c>
    </row>
    <row r="112">
      <c r="A112" t="n">
        <v>96</v>
      </c>
      <c r="B112" s="20">
        <f>D111</f>
        <v/>
      </c>
      <c r="C112" s="20">
        <f>IF(AND(B112&gt;0,A112&lt;=$B$6*12),B112*$B$5/12,0)</f>
        <v/>
      </c>
      <c r="D112" s="20">
        <f>IF(B112&gt;0,MAX(0,B112-(PMT($B$5/12,$B$6*12,-$B$4)-C112+$B$7)),0)</f>
        <v/>
      </c>
    </row>
    <row r="113">
      <c r="A113" t="n">
        <v>97</v>
      </c>
      <c r="B113" s="20">
        <f>D112</f>
        <v/>
      </c>
      <c r="C113" s="20">
        <f>IF(AND(B113&gt;0,A113&lt;=$B$6*12),B113*$B$5/12,0)</f>
        <v/>
      </c>
      <c r="D113" s="20">
        <f>IF(B113&gt;0,MAX(0,B113-(PMT($B$5/12,$B$6*12,-$B$4)-C113+$B$7)),0)</f>
        <v/>
      </c>
    </row>
    <row r="114">
      <c r="A114" t="n">
        <v>98</v>
      </c>
      <c r="B114" s="20">
        <f>D113</f>
        <v/>
      </c>
      <c r="C114" s="20">
        <f>IF(AND(B114&gt;0,A114&lt;=$B$6*12),B114*$B$5/12,0)</f>
        <v/>
      </c>
      <c r="D114" s="20">
        <f>IF(B114&gt;0,MAX(0,B114-(PMT($B$5/12,$B$6*12,-$B$4)-C114+$B$7)),0)</f>
        <v/>
      </c>
    </row>
    <row r="115">
      <c r="A115" t="n">
        <v>99</v>
      </c>
      <c r="B115" s="20">
        <f>D114</f>
        <v/>
      </c>
      <c r="C115" s="20">
        <f>IF(AND(B115&gt;0,A115&lt;=$B$6*12),B115*$B$5/12,0)</f>
        <v/>
      </c>
      <c r="D115" s="20">
        <f>IF(B115&gt;0,MAX(0,B115-(PMT($B$5/12,$B$6*12,-$B$4)-C115+$B$7)),0)</f>
        <v/>
      </c>
    </row>
    <row r="116">
      <c r="A116" t="n">
        <v>100</v>
      </c>
      <c r="B116" s="20">
        <f>D115</f>
        <v/>
      </c>
      <c r="C116" s="20">
        <f>IF(AND(B116&gt;0,A116&lt;=$B$6*12),B116*$B$5/12,0)</f>
        <v/>
      </c>
      <c r="D116" s="20">
        <f>IF(B116&gt;0,MAX(0,B116-(PMT($B$5/12,$B$6*12,-$B$4)-C116+$B$7)),0)</f>
        <v/>
      </c>
    </row>
    <row r="117">
      <c r="A117" t="n">
        <v>101</v>
      </c>
      <c r="B117" s="20">
        <f>D116</f>
        <v/>
      </c>
      <c r="C117" s="20">
        <f>IF(AND(B117&gt;0,A117&lt;=$B$6*12),B117*$B$5/12,0)</f>
        <v/>
      </c>
      <c r="D117" s="20">
        <f>IF(B117&gt;0,MAX(0,B117-(PMT($B$5/12,$B$6*12,-$B$4)-C117+$B$7)),0)</f>
        <v/>
      </c>
    </row>
    <row r="118">
      <c r="A118" t="n">
        <v>102</v>
      </c>
      <c r="B118" s="20">
        <f>D117</f>
        <v/>
      </c>
      <c r="C118" s="20">
        <f>IF(AND(B118&gt;0,A118&lt;=$B$6*12),B118*$B$5/12,0)</f>
        <v/>
      </c>
      <c r="D118" s="20">
        <f>IF(B118&gt;0,MAX(0,B118-(PMT($B$5/12,$B$6*12,-$B$4)-C118+$B$7)),0)</f>
        <v/>
      </c>
    </row>
    <row r="119">
      <c r="A119" t="n">
        <v>103</v>
      </c>
      <c r="B119" s="20">
        <f>D118</f>
        <v/>
      </c>
      <c r="C119" s="20">
        <f>IF(AND(B119&gt;0,A119&lt;=$B$6*12),B119*$B$5/12,0)</f>
        <v/>
      </c>
      <c r="D119" s="20">
        <f>IF(B119&gt;0,MAX(0,B119-(PMT($B$5/12,$B$6*12,-$B$4)-C119+$B$7)),0)</f>
        <v/>
      </c>
    </row>
    <row r="120">
      <c r="A120" t="n">
        <v>104</v>
      </c>
      <c r="B120" s="20">
        <f>D119</f>
        <v/>
      </c>
      <c r="C120" s="20">
        <f>IF(AND(B120&gt;0,A120&lt;=$B$6*12),B120*$B$5/12,0)</f>
        <v/>
      </c>
      <c r="D120" s="20">
        <f>IF(B120&gt;0,MAX(0,B120-(PMT($B$5/12,$B$6*12,-$B$4)-C120+$B$7)),0)</f>
        <v/>
      </c>
    </row>
    <row r="121">
      <c r="A121" t="n">
        <v>105</v>
      </c>
      <c r="B121" s="20">
        <f>D120</f>
        <v/>
      </c>
      <c r="C121" s="20">
        <f>IF(AND(B121&gt;0,A121&lt;=$B$6*12),B121*$B$5/12,0)</f>
        <v/>
      </c>
      <c r="D121" s="20">
        <f>IF(B121&gt;0,MAX(0,B121-(PMT($B$5/12,$B$6*12,-$B$4)-C121+$B$7)),0)</f>
        <v/>
      </c>
    </row>
    <row r="122">
      <c r="A122" t="n">
        <v>106</v>
      </c>
      <c r="B122" s="20">
        <f>D121</f>
        <v/>
      </c>
      <c r="C122" s="20">
        <f>IF(AND(B122&gt;0,A122&lt;=$B$6*12),B122*$B$5/12,0)</f>
        <v/>
      </c>
      <c r="D122" s="20">
        <f>IF(B122&gt;0,MAX(0,B122-(PMT($B$5/12,$B$6*12,-$B$4)-C122+$B$7)),0)</f>
        <v/>
      </c>
    </row>
    <row r="123">
      <c r="A123" t="n">
        <v>107</v>
      </c>
      <c r="B123" s="20">
        <f>D122</f>
        <v/>
      </c>
      <c r="C123" s="20">
        <f>IF(AND(B123&gt;0,A123&lt;=$B$6*12),B123*$B$5/12,0)</f>
        <v/>
      </c>
      <c r="D123" s="20">
        <f>IF(B123&gt;0,MAX(0,B123-(PMT($B$5/12,$B$6*12,-$B$4)-C123+$B$7)),0)</f>
        <v/>
      </c>
    </row>
    <row r="124">
      <c r="A124" t="n">
        <v>108</v>
      </c>
      <c r="B124" s="20">
        <f>D123</f>
        <v/>
      </c>
      <c r="C124" s="20">
        <f>IF(AND(B124&gt;0,A124&lt;=$B$6*12),B124*$B$5/12,0)</f>
        <v/>
      </c>
      <c r="D124" s="20">
        <f>IF(B124&gt;0,MAX(0,B124-(PMT($B$5/12,$B$6*12,-$B$4)-C124+$B$7)),0)</f>
        <v/>
      </c>
    </row>
    <row r="125">
      <c r="A125" t="n">
        <v>109</v>
      </c>
      <c r="B125" s="20">
        <f>D124</f>
        <v/>
      </c>
      <c r="C125" s="20">
        <f>IF(AND(B125&gt;0,A125&lt;=$B$6*12),B125*$B$5/12,0)</f>
        <v/>
      </c>
      <c r="D125" s="20">
        <f>IF(B125&gt;0,MAX(0,B125-(PMT($B$5/12,$B$6*12,-$B$4)-C125+$B$7)),0)</f>
        <v/>
      </c>
    </row>
    <row r="126">
      <c r="A126" t="n">
        <v>110</v>
      </c>
      <c r="B126" s="20">
        <f>D125</f>
        <v/>
      </c>
      <c r="C126" s="20">
        <f>IF(AND(B126&gt;0,A126&lt;=$B$6*12),B126*$B$5/12,0)</f>
        <v/>
      </c>
      <c r="D126" s="20">
        <f>IF(B126&gt;0,MAX(0,B126-(PMT($B$5/12,$B$6*12,-$B$4)-C126+$B$7)),0)</f>
        <v/>
      </c>
    </row>
    <row r="127">
      <c r="A127" t="n">
        <v>111</v>
      </c>
      <c r="B127" s="20">
        <f>D126</f>
        <v/>
      </c>
      <c r="C127" s="20">
        <f>IF(AND(B127&gt;0,A127&lt;=$B$6*12),B127*$B$5/12,0)</f>
        <v/>
      </c>
      <c r="D127" s="20">
        <f>IF(B127&gt;0,MAX(0,B127-(PMT($B$5/12,$B$6*12,-$B$4)-C127+$B$7)),0)</f>
        <v/>
      </c>
    </row>
    <row r="128">
      <c r="A128" t="n">
        <v>112</v>
      </c>
      <c r="B128" s="20">
        <f>D127</f>
        <v/>
      </c>
      <c r="C128" s="20">
        <f>IF(AND(B128&gt;0,A128&lt;=$B$6*12),B128*$B$5/12,0)</f>
        <v/>
      </c>
      <c r="D128" s="20">
        <f>IF(B128&gt;0,MAX(0,B128-(PMT($B$5/12,$B$6*12,-$B$4)-C128+$B$7)),0)</f>
        <v/>
      </c>
    </row>
    <row r="129">
      <c r="A129" t="n">
        <v>113</v>
      </c>
      <c r="B129" s="20">
        <f>D128</f>
        <v/>
      </c>
      <c r="C129" s="20">
        <f>IF(AND(B129&gt;0,A129&lt;=$B$6*12),B129*$B$5/12,0)</f>
        <v/>
      </c>
      <c r="D129" s="20">
        <f>IF(B129&gt;0,MAX(0,B129-(PMT($B$5/12,$B$6*12,-$B$4)-C129+$B$7)),0)</f>
        <v/>
      </c>
    </row>
    <row r="130">
      <c r="A130" t="n">
        <v>114</v>
      </c>
      <c r="B130" s="20">
        <f>D129</f>
        <v/>
      </c>
      <c r="C130" s="20">
        <f>IF(AND(B130&gt;0,A130&lt;=$B$6*12),B130*$B$5/12,0)</f>
        <v/>
      </c>
      <c r="D130" s="20">
        <f>IF(B130&gt;0,MAX(0,B130-(PMT($B$5/12,$B$6*12,-$B$4)-C130+$B$7)),0)</f>
        <v/>
      </c>
    </row>
    <row r="131">
      <c r="A131" t="n">
        <v>115</v>
      </c>
      <c r="B131" s="20">
        <f>D130</f>
        <v/>
      </c>
      <c r="C131" s="20">
        <f>IF(AND(B131&gt;0,A131&lt;=$B$6*12),B131*$B$5/12,0)</f>
        <v/>
      </c>
      <c r="D131" s="20">
        <f>IF(B131&gt;0,MAX(0,B131-(PMT($B$5/12,$B$6*12,-$B$4)-C131+$B$7)),0)</f>
        <v/>
      </c>
    </row>
    <row r="132">
      <c r="A132" t="n">
        <v>116</v>
      </c>
      <c r="B132" s="20">
        <f>D131</f>
        <v/>
      </c>
      <c r="C132" s="20">
        <f>IF(AND(B132&gt;0,A132&lt;=$B$6*12),B132*$B$5/12,0)</f>
        <v/>
      </c>
      <c r="D132" s="20">
        <f>IF(B132&gt;0,MAX(0,B132-(PMT($B$5/12,$B$6*12,-$B$4)-C132+$B$7)),0)</f>
        <v/>
      </c>
    </row>
    <row r="133">
      <c r="A133" t="n">
        <v>117</v>
      </c>
      <c r="B133" s="20">
        <f>D132</f>
        <v/>
      </c>
      <c r="C133" s="20">
        <f>IF(AND(B133&gt;0,A133&lt;=$B$6*12),B133*$B$5/12,0)</f>
        <v/>
      </c>
      <c r="D133" s="20">
        <f>IF(B133&gt;0,MAX(0,B133-(PMT($B$5/12,$B$6*12,-$B$4)-C133+$B$7)),0)</f>
        <v/>
      </c>
    </row>
    <row r="134">
      <c r="A134" t="n">
        <v>118</v>
      </c>
      <c r="B134" s="20">
        <f>D133</f>
        <v/>
      </c>
      <c r="C134" s="20">
        <f>IF(AND(B134&gt;0,A134&lt;=$B$6*12),B134*$B$5/12,0)</f>
        <v/>
      </c>
      <c r="D134" s="20">
        <f>IF(B134&gt;0,MAX(0,B134-(PMT($B$5/12,$B$6*12,-$B$4)-C134+$B$7)),0)</f>
        <v/>
      </c>
    </row>
    <row r="135">
      <c r="A135" t="n">
        <v>119</v>
      </c>
      <c r="B135" s="20">
        <f>D134</f>
        <v/>
      </c>
      <c r="C135" s="20">
        <f>IF(AND(B135&gt;0,A135&lt;=$B$6*12),B135*$B$5/12,0)</f>
        <v/>
      </c>
      <c r="D135" s="20">
        <f>IF(B135&gt;0,MAX(0,B135-(PMT($B$5/12,$B$6*12,-$B$4)-C135+$B$7)),0)</f>
        <v/>
      </c>
    </row>
    <row r="136">
      <c r="A136" t="n">
        <v>120</v>
      </c>
      <c r="B136" s="20">
        <f>D135</f>
        <v/>
      </c>
      <c r="C136" s="20">
        <f>IF(AND(B136&gt;0,A136&lt;=$B$6*12),B136*$B$5/12,0)</f>
        <v/>
      </c>
      <c r="D136" s="20">
        <f>IF(B136&gt;0,MAX(0,B136-(PMT($B$5/12,$B$6*12,-$B$4)-C136+$B$7)),0)</f>
        <v/>
      </c>
    </row>
    <row r="137">
      <c r="A137" t="n">
        <v>121</v>
      </c>
      <c r="B137" s="20">
        <f>D136</f>
        <v/>
      </c>
      <c r="C137" s="20">
        <f>IF(AND(B137&gt;0,A137&lt;=$B$6*12),B137*$B$5/12,0)</f>
        <v/>
      </c>
      <c r="D137" s="20">
        <f>IF(B137&gt;0,MAX(0,B137-(PMT($B$5/12,$B$6*12,-$B$4)-C137+$B$7)),0)</f>
        <v/>
      </c>
    </row>
    <row r="138">
      <c r="A138" t="n">
        <v>122</v>
      </c>
      <c r="B138" s="20">
        <f>D137</f>
        <v/>
      </c>
      <c r="C138" s="20">
        <f>IF(AND(B138&gt;0,A138&lt;=$B$6*12),B138*$B$5/12,0)</f>
        <v/>
      </c>
      <c r="D138" s="20">
        <f>IF(B138&gt;0,MAX(0,B138-(PMT($B$5/12,$B$6*12,-$B$4)-C138+$B$7)),0)</f>
        <v/>
      </c>
    </row>
    <row r="139">
      <c r="A139" t="n">
        <v>123</v>
      </c>
      <c r="B139" s="20">
        <f>D138</f>
        <v/>
      </c>
      <c r="C139" s="20">
        <f>IF(AND(B139&gt;0,A139&lt;=$B$6*12),B139*$B$5/12,0)</f>
        <v/>
      </c>
      <c r="D139" s="20">
        <f>IF(B139&gt;0,MAX(0,B139-(PMT($B$5/12,$B$6*12,-$B$4)-C139+$B$7)),0)</f>
        <v/>
      </c>
    </row>
    <row r="140">
      <c r="A140" t="n">
        <v>124</v>
      </c>
      <c r="B140" s="20">
        <f>D139</f>
        <v/>
      </c>
      <c r="C140" s="20">
        <f>IF(AND(B140&gt;0,A140&lt;=$B$6*12),B140*$B$5/12,0)</f>
        <v/>
      </c>
      <c r="D140" s="20">
        <f>IF(B140&gt;0,MAX(0,B140-(PMT($B$5/12,$B$6*12,-$B$4)-C140+$B$7)),0)</f>
        <v/>
      </c>
    </row>
    <row r="141">
      <c r="A141" t="n">
        <v>125</v>
      </c>
      <c r="B141" s="20">
        <f>D140</f>
        <v/>
      </c>
      <c r="C141" s="20">
        <f>IF(AND(B141&gt;0,A141&lt;=$B$6*12),B141*$B$5/12,0)</f>
        <v/>
      </c>
      <c r="D141" s="20">
        <f>IF(B141&gt;0,MAX(0,B141-(PMT($B$5/12,$B$6*12,-$B$4)-C141+$B$7)),0)</f>
        <v/>
      </c>
    </row>
    <row r="142">
      <c r="A142" t="n">
        <v>126</v>
      </c>
      <c r="B142" s="20">
        <f>D141</f>
        <v/>
      </c>
      <c r="C142" s="20">
        <f>IF(AND(B142&gt;0,A142&lt;=$B$6*12),B142*$B$5/12,0)</f>
        <v/>
      </c>
      <c r="D142" s="20">
        <f>IF(B142&gt;0,MAX(0,B142-(PMT($B$5/12,$B$6*12,-$B$4)-C142+$B$7)),0)</f>
        <v/>
      </c>
    </row>
    <row r="143">
      <c r="A143" t="n">
        <v>127</v>
      </c>
      <c r="B143" s="20">
        <f>D142</f>
        <v/>
      </c>
      <c r="C143" s="20">
        <f>IF(AND(B143&gt;0,A143&lt;=$B$6*12),B143*$B$5/12,0)</f>
        <v/>
      </c>
      <c r="D143" s="20">
        <f>IF(B143&gt;0,MAX(0,B143-(PMT($B$5/12,$B$6*12,-$B$4)-C143+$B$7)),0)</f>
        <v/>
      </c>
    </row>
    <row r="144">
      <c r="A144" t="n">
        <v>128</v>
      </c>
      <c r="B144" s="20">
        <f>D143</f>
        <v/>
      </c>
      <c r="C144" s="20">
        <f>IF(AND(B144&gt;0,A144&lt;=$B$6*12),B144*$B$5/12,0)</f>
        <v/>
      </c>
      <c r="D144" s="20">
        <f>IF(B144&gt;0,MAX(0,B144-(PMT($B$5/12,$B$6*12,-$B$4)-C144+$B$7)),0)</f>
        <v/>
      </c>
    </row>
    <row r="145">
      <c r="A145" t="n">
        <v>129</v>
      </c>
      <c r="B145" s="20">
        <f>D144</f>
        <v/>
      </c>
      <c r="C145" s="20">
        <f>IF(AND(B145&gt;0,A145&lt;=$B$6*12),B145*$B$5/12,0)</f>
        <v/>
      </c>
      <c r="D145" s="20">
        <f>IF(B145&gt;0,MAX(0,B145-(PMT($B$5/12,$B$6*12,-$B$4)-C145+$B$7)),0)</f>
        <v/>
      </c>
    </row>
    <row r="146">
      <c r="A146" t="n">
        <v>130</v>
      </c>
      <c r="B146" s="20">
        <f>D145</f>
        <v/>
      </c>
      <c r="C146" s="20">
        <f>IF(AND(B146&gt;0,A146&lt;=$B$6*12),B146*$B$5/12,0)</f>
        <v/>
      </c>
      <c r="D146" s="20">
        <f>IF(B146&gt;0,MAX(0,B146-(PMT($B$5/12,$B$6*12,-$B$4)-C146+$B$7)),0)</f>
        <v/>
      </c>
    </row>
    <row r="147">
      <c r="A147" t="n">
        <v>131</v>
      </c>
      <c r="B147" s="20">
        <f>D146</f>
        <v/>
      </c>
      <c r="C147" s="20">
        <f>IF(AND(B147&gt;0,A147&lt;=$B$6*12),B147*$B$5/12,0)</f>
        <v/>
      </c>
      <c r="D147" s="20">
        <f>IF(B147&gt;0,MAX(0,B147-(PMT($B$5/12,$B$6*12,-$B$4)-C147+$B$7)),0)</f>
        <v/>
      </c>
    </row>
    <row r="148">
      <c r="A148" t="n">
        <v>132</v>
      </c>
      <c r="B148" s="20">
        <f>D147</f>
        <v/>
      </c>
      <c r="C148" s="20">
        <f>IF(AND(B148&gt;0,A148&lt;=$B$6*12),B148*$B$5/12,0)</f>
        <v/>
      </c>
      <c r="D148" s="20">
        <f>IF(B148&gt;0,MAX(0,B148-(PMT($B$5/12,$B$6*12,-$B$4)-C148+$B$7)),0)</f>
        <v/>
      </c>
    </row>
    <row r="149">
      <c r="A149" t="n">
        <v>133</v>
      </c>
      <c r="B149" s="20">
        <f>D148</f>
        <v/>
      </c>
      <c r="C149" s="20">
        <f>IF(AND(B149&gt;0,A149&lt;=$B$6*12),B149*$B$5/12,0)</f>
        <v/>
      </c>
      <c r="D149" s="20">
        <f>IF(B149&gt;0,MAX(0,B149-(PMT($B$5/12,$B$6*12,-$B$4)-C149+$B$7)),0)</f>
        <v/>
      </c>
    </row>
    <row r="150">
      <c r="A150" t="n">
        <v>134</v>
      </c>
      <c r="B150" s="20">
        <f>D149</f>
        <v/>
      </c>
      <c r="C150" s="20">
        <f>IF(AND(B150&gt;0,A150&lt;=$B$6*12),B150*$B$5/12,0)</f>
        <v/>
      </c>
      <c r="D150" s="20">
        <f>IF(B150&gt;0,MAX(0,B150-(PMT($B$5/12,$B$6*12,-$B$4)-C150+$B$7)),0)</f>
        <v/>
      </c>
    </row>
    <row r="151">
      <c r="A151" t="n">
        <v>135</v>
      </c>
      <c r="B151" s="20">
        <f>D150</f>
        <v/>
      </c>
      <c r="C151" s="20">
        <f>IF(AND(B151&gt;0,A151&lt;=$B$6*12),B151*$B$5/12,0)</f>
        <v/>
      </c>
      <c r="D151" s="20">
        <f>IF(B151&gt;0,MAX(0,B151-(PMT($B$5/12,$B$6*12,-$B$4)-C151+$B$7)),0)</f>
        <v/>
      </c>
    </row>
    <row r="152">
      <c r="A152" t="n">
        <v>136</v>
      </c>
      <c r="B152" s="20">
        <f>D151</f>
        <v/>
      </c>
      <c r="C152" s="20">
        <f>IF(AND(B152&gt;0,A152&lt;=$B$6*12),B152*$B$5/12,0)</f>
        <v/>
      </c>
      <c r="D152" s="20">
        <f>IF(B152&gt;0,MAX(0,B152-(PMT($B$5/12,$B$6*12,-$B$4)-C152+$B$7)),0)</f>
        <v/>
      </c>
    </row>
    <row r="153">
      <c r="A153" t="n">
        <v>137</v>
      </c>
      <c r="B153" s="20">
        <f>D152</f>
        <v/>
      </c>
      <c r="C153" s="20">
        <f>IF(AND(B153&gt;0,A153&lt;=$B$6*12),B153*$B$5/12,0)</f>
        <v/>
      </c>
      <c r="D153" s="20">
        <f>IF(B153&gt;0,MAX(0,B153-(PMT($B$5/12,$B$6*12,-$B$4)-C153+$B$7)),0)</f>
        <v/>
      </c>
    </row>
    <row r="154">
      <c r="A154" t="n">
        <v>138</v>
      </c>
      <c r="B154" s="20">
        <f>D153</f>
        <v/>
      </c>
      <c r="C154" s="20">
        <f>IF(AND(B154&gt;0,A154&lt;=$B$6*12),B154*$B$5/12,0)</f>
        <v/>
      </c>
      <c r="D154" s="20">
        <f>IF(B154&gt;0,MAX(0,B154-(PMT($B$5/12,$B$6*12,-$B$4)-C154+$B$7)),0)</f>
        <v/>
      </c>
    </row>
    <row r="155">
      <c r="A155" t="n">
        <v>139</v>
      </c>
      <c r="B155" s="20">
        <f>D154</f>
        <v/>
      </c>
      <c r="C155" s="20">
        <f>IF(AND(B155&gt;0,A155&lt;=$B$6*12),B155*$B$5/12,0)</f>
        <v/>
      </c>
      <c r="D155" s="20">
        <f>IF(B155&gt;0,MAX(0,B155-(PMT($B$5/12,$B$6*12,-$B$4)-C155+$B$7)),0)</f>
        <v/>
      </c>
    </row>
    <row r="156">
      <c r="A156" t="n">
        <v>140</v>
      </c>
      <c r="B156" s="20">
        <f>D155</f>
        <v/>
      </c>
      <c r="C156" s="20">
        <f>IF(AND(B156&gt;0,A156&lt;=$B$6*12),B156*$B$5/12,0)</f>
        <v/>
      </c>
      <c r="D156" s="20">
        <f>IF(B156&gt;0,MAX(0,B156-(PMT($B$5/12,$B$6*12,-$B$4)-C156+$B$7)),0)</f>
        <v/>
      </c>
    </row>
    <row r="157">
      <c r="A157" t="n">
        <v>141</v>
      </c>
      <c r="B157" s="20">
        <f>D156</f>
        <v/>
      </c>
      <c r="C157" s="20">
        <f>IF(AND(B157&gt;0,A157&lt;=$B$6*12),B157*$B$5/12,0)</f>
        <v/>
      </c>
      <c r="D157" s="20">
        <f>IF(B157&gt;0,MAX(0,B157-(PMT($B$5/12,$B$6*12,-$B$4)-C157+$B$7)),0)</f>
        <v/>
      </c>
    </row>
    <row r="158">
      <c r="A158" t="n">
        <v>142</v>
      </c>
      <c r="B158" s="20">
        <f>D157</f>
        <v/>
      </c>
      <c r="C158" s="20">
        <f>IF(AND(B158&gt;0,A158&lt;=$B$6*12),B158*$B$5/12,0)</f>
        <v/>
      </c>
      <c r="D158" s="20">
        <f>IF(B158&gt;0,MAX(0,B158-(PMT($B$5/12,$B$6*12,-$B$4)-C158+$B$7)),0)</f>
        <v/>
      </c>
    </row>
    <row r="159">
      <c r="A159" t="n">
        <v>143</v>
      </c>
      <c r="B159" s="20">
        <f>D158</f>
        <v/>
      </c>
      <c r="C159" s="20">
        <f>IF(AND(B159&gt;0,A159&lt;=$B$6*12),B159*$B$5/12,0)</f>
        <v/>
      </c>
      <c r="D159" s="20">
        <f>IF(B159&gt;0,MAX(0,B159-(PMT($B$5/12,$B$6*12,-$B$4)-C159+$B$7)),0)</f>
        <v/>
      </c>
    </row>
    <row r="160">
      <c r="A160" t="n">
        <v>144</v>
      </c>
      <c r="B160" s="20">
        <f>D159</f>
        <v/>
      </c>
      <c r="C160" s="20">
        <f>IF(AND(B160&gt;0,A160&lt;=$B$6*12),B160*$B$5/12,0)</f>
        <v/>
      </c>
      <c r="D160" s="20">
        <f>IF(B160&gt;0,MAX(0,B160-(PMT($B$5/12,$B$6*12,-$B$4)-C160+$B$7)),0)</f>
        <v/>
      </c>
    </row>
    <row r="161">
      <c r="A161" t="n">
        <v>145</v>
      </c>
      <c r="B161" s="20">
        <f>D160</f>
        <v/>
      </c>
      <c r="C161" s="20">
        <f>IF(AND(B161&gt;0,A161&lt;=$B$6*12),B161*$B$5/12,0)</f>
        <v/>
      </c>
      <c r="D161" s="20">
        <f>IF(B161&gt;0,MAX(0,B161-(PMT($B$5/12,$B$6*12,-$B$4)-C161+$B$7)),0)</f>
        <v/>
      </c>
    </row>
    <row r="162">
      <c r="A162" t="n">
        <v>146</v>
      </c>
      <c r="B162" s="20">
        <f>D161</f>
        <v/>
      </c>
      <c r="C162" s="20">
        <f>IF(AND(B162&gt;0,A162&lt;=$B$6*12),B162*$B$5/12,0)</f>
        <v/>
      </c>
      <c r="D162" s="20">
        <f>IF(B162&gt;0,MAX(0,B162-(PMT($B$5/12,$B$6*12,-$B$4)-C162+$B$7)),0)</f>
        <v/>
      </c>
    </row>
    <row r="163">
      <c r="A163" t="n">
        <v>147</v>
      </c>
      <c r="B163" s="20">
        <f>D162</f>
        <v/>
      </c>
      <c r="C163" s="20">
        <f>IF(AND(B163&gt;0,A163&lt;=$B$6*12),B163*$B$5/12,0)</f>
        <v/>
      </c>
      <c r="D163" s="20">
        <f>IF(B163&gt;0,MAX(0,B163-(PMT($B$5/12,$B$6*12,-$B$4)-C163+$B$7)),0)</f>
        <v/>
      </c>
    </row>
    <row r="164">
      <c r="A164" t="n">
        <v>148</v>
      </c>
      <c r="B164" s="20">
        <f>D163</f>
        <v/>
      </c>
      <c r="C164" s="20">
        <f>IF(AND(B164&gt;0,A164&lt;=$B$6*12),B164*$B$5/12,0)</f>
        <v/>
      </c>
      <c r="D164" s="20">
        <f>IF(B164&gt;0,MAX(0,B164-(PMT($B$5/12,$B$6*12,-$B$4)-C164+$B$7)),0)</f>
        <v/>
      </c>
    </row>
    <row r="165">
      <c r="A165" t="n">
        <v>149</v>
      </c>
      <c r="B165" s="20">
        <f>D164</f>
        <v/>
      </c>
      <c r="C165" s="20">
        <f>IF(AND(B165&gt;0,A165&lt;=$B$6*12),B165*$B$5/12,0)</f>
        <v/>
      </c>
      <c r="D165" s="20">
        <f>IF(B165&gt;0,MAX(0,B165-(PMT($B$5/12,$B$6*12,-$B$4)-C165+$B$7)),0)</f>
        <v/>
      </c>
    </row>
    <row r="166">
      <c r="A166" t="n">
        <v>150</v>
      </c>
      <c r="B166" s="20">
        <f>D165</f>
        <v/>
      </c>
      <c r="C166" s="20">
        <f>IF(AND(B166&gt;0,A166&lt;=$B$6*12),B166*$B$5/12,0)</f>
        <v/>
      </c>
      <c r="D166" s="20">
        <f>IF(B166&gt;0,MAX(0,B166-(PMT($B$5/12,$B$6*12,-$B$4)-C166+$B$7)),0)</f>
        <v/>
      </c>
    </row>
    <row r="167">
      <c r="A167" t="n">
        <v>151</v>
      </c>
      <c r="B167" s="20">
        <f>D166</f>
        <v/>
      </c>
      <c r="C167" s="20">
        <f>IF(AND(B167&gt;0,A167&lt;=$B$6*12),B167*$B$5/12,0)</f>
        <v/>
      </c>
      <c r="D167" s="20">
        <f>IF(B167&gt;0,MAX(0,B167-(PMT($B$5/12,$B$6*12,-$B$4)-C167+$B$7)),0)</f>
        <v/>
      </c>
    </row>
    <row r="168">
      <c r="A168" t="n">
        <v>152</v>
      </c>
      <c r="B168" s="20">
        <f>D167</f>
        <v/>
      </c>
      <c r="C168" s="20">
        <f>IF(AND(B168&gt;0,A168&lt;=$B$6*12),B168*$B$5/12,0)</f>
        <v/>
      </c>
      <c r="D168" s="20">
        <f>IF(B168&gt;0,MAX(0,B168-(PMT($B$5/12,$B$6*12,-$B$4)-C168+$B$7)),0)</f>
        <v/>
      </c>
    </row>
    <row r="169">
      <c r="A169" t="n">
        <v>153</v>
      </c>
      <c r="B169" s="20">
        <f>D168</f>
        <v/>
      </c>
      <c r="C169" s="20">
        <f>IF(AND(B169&gt;0,A169&lt;=$B$6*12),B169*$B$5/12,0)</f>
        <v/>
      </c>
      <c r="D169" s="20">
        <f>IF(B169&gt;0,MAX(0,B169-(PMT($B$5/12,$B$6*12,-$B$4)-C169+$B$7)),0)</f>
        <v/>
      </c>
    </row>
    <row r="170">
      <c r="A170" t="n">
        <v>154</v>
      </c>
      <c r="B170" s="20">
        <f>D169</f>
        <v/>
      </c>
      <c r="C170" s="20">
        <f>IF(AND(B170&gt;0,A170&lt;=$B$6*12),B170*$B$5/12,0)</f>
        <v/>
      </c>
      <c r="D170" s="20">
        <f>IF(B170&gt;0,MAX(0,B170-(PMT($B$5/12,$B$6*12,-$B$4)-C170+$B$7)),0)</f>
        <v/>
      </c>
    </row>
    <row r="171">
      <c r="A171" t="n">
        <v>155</v>
      </c>
      <c r="B171" s="20">
        <f>D170</f>
        <v/>
      </c>
      <c r="C171" s="20">
        <f>IF(AND(B171&gt;0,A171&lt;=$B$6*12),B171*$B$5/12,0)</f>
        <v/>
      </c>
      <c r="D171" s="20">
        <f>IF(B171&gt;0,MAX(0,B171-(PMT($B$5/12,$B$6*12,-$B$4)-C171+$B$7)),0)</f>
        <v/>
      </c>
    </row>
    <row r="172">
      <c r="A172" t="n">
        <v>156</v>
      </c>
      <c r="B172" s="20">
        <f>D171</f>
        <v/>
      </c>
      <c r="C172" s="20">
        <f>IF(AND(B172&gt;0,A172&lt;=$B$6*12),B172*$B$5/12,0)</f>
        <v/>
      </c>
      <c r="D172" s="20">
        <f>IF(B172&gt;0,MAX(0,B172-(PMT($B$5/12,$B$6*12,-$B$4)-C172+$B$7)),0)</f>
        <v/>
      </c>
    </row>
    <row r="173">
      <c r="A173" t="n">
        <v>157</v>
      </c>
      <c r="B173" s="20">
        <f>D172</f>
        <v/>
      </c>
      <c r="C173" s="20">
        <f>IF(AND(B173&gt;0,A173&lt;=$B$6*12),B173*$B$5/12,0)</f>
        <v/>
      </c>
      <c r="D173" s="20">
        <f>IF(B173&gt;0,MAX(0,B173-(PMT($B$5/12,$B$6*12,-$B$4)-C173+$B$7)),0)</f>
        <v/>
      </c>
    </row>
    <row r="174">
      <c r="A174" t="n">
        <v>158</v>
      </c>
      <c r="B174" s="20">
        <f>D173</f>
        <v/>
      </c>
      <c r="C174" s="20">
        <f>IF(AND(B174&gt;0,A174&lt;=$B$6*12),B174*$B$5/12,0)</f>
        <v/>
      </c>
      <c r="D174" s="20">
        <f>IF(B174&gt;0,MAX(0,B174-(PMT($B$5/12,$B$6*12,-$B$4)-C174+$B$7)),0)</f>
        <v/>
      </c>
    </row>
    <row r="175">
      <c r="A175" t="n">
        <v>159</v>
      </c>
      <c r="B175" s="20">
        <f>D174</f>
        <v/>
      </c>
      <c r="C175" s="20">
        <f>IF(AND(B175&gt;0,A175&lt;=$B$6*12),B175*$B$5/12,0)</f>
        <v/>
      </c>
      <c r="D175" s="20">
        <f>IF(B175&gt;0,MAX(0,B175-(PMT($B$5/12,$B$6*12,-$B$4)-C175+$B$7)),0)</f>
        <v/>
      </c>
    </row>
    <row r="176">
      <c r="A176" t="n">
        <v>160</v>
      </c>
      <c r="B176" s="20">
        <f>D175</f>
        <v/>
      </c>
      <c r="C176" s="20">
        <f>IF(AND(B176&gt;0,A176&lt;=$B$6*12),B176*$B$5/12,0)</f>
        <v/>
      </c>
      <c r="D176" s="20">
        <f>IF(B176&gt;0,MAX(0,B176-(PMT($B$5/12,$B$6*12,-$B$4)-C176+$B$7)),0)</f>
        <v/>
      </c>
    </row>
    <row r="177">
      <c r="A177" t="n">
        <v>161</v>
      </c>
      <c r="B177" s="20">
        <f>D176</f>
        <v/>
      </c>
      <c r="C177" s="20">
        <f>IF(AND(B177&gt;0,A177&lt;=$B$6*12),B177*$B$5/12,0)</f>
        <v/>
      </c>
      <c r="D177" s="20">
        <f>IF(B177&gt;0,MAX(0,B177-(PMT($B$5/12,$B$6*12,-$B$4)-C177+$B$7)),0)</f>
        <v/>
      </c>
    </row>
    <row r="178">
      <c r="A178" t="n">
        <v>162</v>
      </c>
      <c r="B178" s="20">
        <f>D177</f>
        <v/>
      </c>
      <c r="C178" s="20">
        <f>IF(AND(B178&gt;0,A178&lt;=$B$6*12),B178*$B$5/12,0)</f>
        <v/>
      </c>
      <c r="D178" s="20">
        <f>IF(B178&gt;0,MAX(0,B178-(PMT($B$5/12,$B$6*12,-$B$4)-C178+$B$7)),0)</f>
        <v/>
      </c>
    </row>
    <row r="179">
      <c r="A179" t="n">
        <v>163</v>
      </c>
      <c r="B179" s="20">
        <f>D178</f>
        <v/>
      </c>
      <c r="C179" s="20">
        <f>IF(AND(B179&gt;0,A179&lt;=$B$6*12),B179*$B$5/12,0)</f>
        <v/>
      </c>
      <c r="D179" s="20">
        <f>IF(B179&gt;0,MAX(0,B179-(PMT($B$5/12,$B$6*12,-$B$4)-C179+$B$7)),0)</f>
        <v/>
      </c>
    </row>
    <row r="180">
      <c r="A180" t="n">
        <v>164</v>
      </c>
      <c r="B180" s="20">
        <f>D179</f>
        <v/>
      </c>
      <c r="C180" s="20">
        <f>IF(AND(B180&gt;0,A180&lt;=$B$6*12),B180*$B$5/12,0)</f>
        <v/>
      </c>
      <c r="D180" s="20">
        <f>IF(B180&gt;0,MAX(0,B180-(PMT($B$5/12,$B$6*12,-$B$4)-C180+$B$7)),0)</f>
        <v/>
      </c>
    </row>
    <row r="181">
      <c r="A181" t="n">
        <v>165</v>
      </c>
      <c r="B181" s="20">
        <f>D180</f>
        <v/>
      </c>
      <c r="C181" s="20">
        <f>IF(AND(B181&gt;0,A181&lt;=$B$6*12),B181*$B$5/12,0)</f>
        <v/>
      </c>
      <c r="D181" s="20">
        <f>IF(B181&gt;0,MAX(0,B181-(PMT($B$5/12,$B$6*12,-$B$4)-C181+$B$7)),0)</f>
        <v/>
      </c>
    </row>
    <row r="182">
      <c r="A182" t="n">
        <v>166</v>
      </c>
      <c r="B182" s="20">
        <f>D181</f>
        <v/>
      </c>
      <c r="C182" s="20">
        <f>IF(AND(B182&gt;0,A182&lt;=$B$6*12),B182*$B$5/12,0)</f>
        <v/>
      </c>
      <c r="D182" s="20">
        <f>IF(B182&gt;0,MAX(0,B182-(PMT($B$5/12,$B$6*12,-$B$4)-C182+$B$7)),0)</f>
        <v/>
      </c>
    </row>
    <row r="183">
      <c r="A183" t="n">
        <v>167</v>
      </c>
      <c r="B183" s="20">
        <f>D182</f>
        <v/>
      </c>
      <c r="C183" s="20">
        <f>IF(AND(B183&gt;0,A183&lt;=$B$6*12),B183*$B$5/12,0)</f>
        <v/>
      </c>
      <c r="D183" s="20">
        <f>IF(B183&gt;0,MAX(0,B183-(PMT($B$5/12,$B$6*12,-$B$4)-C183+$B$7)),0)</f>
        <v/>
      </c>
    </row>
    <row r="184">
      <c r="A184" t="n">
        <v>168</v>
      </c>
      <c r="B184" s="20">
        <f>D183</f>
        <v/>
      </c>
      <c r="C184" s="20">
        <f>IF(AND(B184&gt;0,A184&lt;=$B$6*12),B184*$B$5/12,0)</f>
        <v/>
      </c>
      <c r="D184" s="20">
        <f>IF(B184&gt;0,MAX(0,B184-(PMT($B$5/12,$B$6*12,-$B$4)-C184+$B$7)),0)</f>
        <v/>
      </c>
    </row>
    <row r="185">
      <c r="A185" t="n">
        <v>169</v>
      </c>
      <c r="B185" s="20">
        <f>D184</f>
        <v/>
      </c>
      <c r="C185" s="20">
        <f>IF(AND(B185&gt;0,A185&lt;=$B$6*12),B185*$B$5/12,0)</f>
        <v/>
      </c>
      <c r="D185" s="20">
        <f>IF(B185&gt;0,MAX(0,B185-(PMT($B$5/12,$B$6*12,-$B$4)-C185+$B$7)),0)</f>
        <v/>
      </c>
    </row>
    <row r="186">
      <c r="A186" t="n">
        <v>170</v>
      </c>
      <c r="B186" s="20">
        <f>D185</f>
        <v/>
      </c>
      <c r="C186" s="20">
        <f>IF(AND(B186&gt;0,A186&lt;=$B$6*12),B186*$B$5/12,0)</f>
        <v/>
      </c>
      <c r="D186" s="20">
        <f>IF(B186&gt;0,MAX(0,B186-(PMT($B$5/12,$B$6*12,-$B$4)-C186+$B$7)),0)</f>
        <v/>
      </c>
    </row>
    <row r="187">
      <c r="A187" t="n">
        <v>171</v>
      </c>
      <c r="B187" s="20">
        <f>D186</f>
        <v/>
      </c>
      <c r="C187" s="20">
        <f>IF(AND(B187&gt;0,A187&lt;=$B$6*12),B187*$B$5/12,0)</f>
        <v/>
      </c>
      <c r="D187" s="20">
        <f>IF(B187&gt;0,MAX(0,B187-(PMT($B$5/12,$B$6*12,-$B$4)-C187+$B$7)),0)</f>
        <v/>
      </c>
    </row>
    <row r="188">
      <c r="A188" t="n">
        <v>172</v>
      </c>
      <c r="B188" s="20">
        <f>D187</f>
        <v/>
      </c>
      <c r="C188" s="20">
        <f>IF(AND(B188&gt;0,A188&lt;=$B$6*12),B188*$B$5/12,0)</f>
        <v/>
      </c>
      <c r="D188" s="20">
        <f>IF(B188&gt;0,MAX(0,B188-(PMT($B$5/12,$B$6*12,-$B$4)-C188+$B$7)),0)</f>
        <v/>
      </c>
    </row>
    <row r="189">
      <c r="A189" t="n">
        <v>173</v>
      </c>
      <c r="B189" s="20">
        <f>D188</f>
        <v/>
      </c>
      <c r="C189" s="20">
        <f>IF(AND(B189&gt;0,A189&lt;=$B$6*12),B189*$B$5/12,0)</f>
        <v/>
      </c>
      <c r="D189" s="20">
        <f>IF(B189&gt;0,MAX(0,B189-(PMT($B$5/12,$B$6*12,-$B$4)-C189+$B$7)),0)</f>
        <v/>
      </c>
    </row>
    <row r="190">
      <c r="A190" t="n">
        <v>174</v>
      </c>
      <c r="B190" s="20">
        <f>D189</f>
        <v/>
      </c>
      <c r="C190" s="20">
        <f>IF(AND(B190&gt;0,A190&lt;=$B$6*12),B190*$B$5/12,0)</f>
        <v/>
      </c>
      <c r="D190" s="20">
        <f>IF(B190&gt;0,MAX(0,B190-(PMT($B$5/12,$B$6*12,-$B$4)-C190+$B$7)),0)</f>
        <v/>
      </c>
    </row>
    <row r="191">
      <c r="A191" t="n">
        <v>175</v>
      </c>
      <c r="B191" s="20">
        <f>D190</f>
        <v/>
      </c>
      <c r="C191" s="20">
        <f>IF(AND(B191&gt;0,A191&lt;=$B$6*12),B191*$B$5/12,0)</f>
        <v/>
      </c>
      <c r="D191" s="20">
        <f>IF(B191&gt;0,MAX(0,B191-(PMT($B$5/12,$B$6*12,-$B$4)-C191+$B$7)),0)</f>
        <v/>
      </c>
    </row>
    <row r="192">
      <c r="A192" t="n">
        <v>176</v>
      </c>
      <c r="B192" s="20">
        <f>D191</f>
        <v/>
      </c>
      <c r="C192" s="20">
        <f>IF(AND(B192&gt;0,A192&lt;=$B$6*12),B192*$B$5/12,0)</f>
        <v/>
      </c>
      <c r="D192" s="20">
        <f>IF(B192&gt;0,MAX(0,B192-(PMT($B$5/12,$B$6*12,-$B$4)-C192+$B$7)),0)</f>
        <v/>
      </c>
    </row>
    <row r="193">
      <c r="A193" t="n">
        <v>177</v>
      </c>
      <c r="B193" s="20">
        <f>D192</f>
        <v/>
      </c>
      <c r="C193" s="20">
        <f>IF(AND(B193&gt;0,A193&lt;=$B$6*12),B193*$B$5/12,0)</f>
        <v/>
      </c>
      <c r="D193" s="20">
        <f>IF(B193&gt;0,MAX(0,B193-(PMT($B$5/12,$B$6*12,-$B$4)-C193+$B$7)),0)</f>
        <v/>
      </c>
    </row>
    <row r="194">
      <c r="A194" t="n">
        <v>178</v>
      </c>
      <c r="B194" s="20">
        <f>D193</f>
        <v/>
      </c>
      <c r="C194" s="20">
        <f>IF(AND(B194&gt;0,A194&lt;=$B$6*12),B194*$B$5/12,0)</f>
        <v/>
      </c>
      <c r="D194" s="20">
        <f>IF(B194&gt;0,MAX(0,B194-(PMT($B$5/12,$B$6*12,-$B$4)-C194+$B$7)),0)</f>
        <v/>
      </c>
    </row>
    <row r="195">
      <c r="A195" t="n">
        <v>179</v>
      </c>
      <c r="B195" s="20">
        <f>D194</f>
        <v/>
      </c>
      <c r="C195" s="20">
        <f>IF(AND(B195&gt;0,A195&lt;=$B$6*12),B195*$B$5/12,0)</f>
        <v/>
      </c>
      <c r="D195" s="20">
        <f>IF(B195&gt;0,MAX(0,B195-(PMT($B$5/12,$B$6*12,-$B$4)-C195+$B$7)),0)</f>
        <v/>
      </c>
    </row>
    <row r="196">
      <c r="A196" t="n">
        <v>180</v>
      </c>
      <c r="B196" s="20">
        <f>D195</f>
        <v/>
      </c>
      <c r="C196" s="20">
        <f>IF(AND(B196&gt;0,A196&lt;=$B$6*12),B196*$B$5/12,0)</f>
        <v/>
      </c>
      <c r="D196" s="20">
        <f>IF(B196&gt;0,MAX(0,B196-(PMT($B$5/12,$B$6*12,-$B$4)-C196+$B$7)),0)</f>
        <v/>
      </c>
    </row>
    <row r="197">
      <c r="A197" t="n">
        <v>181</v>
      </c>
      <c r="B197" s="20">
        <f>D196</f>
        <v/>
      </c>
      <c r="C197" s="20">
        <f>IF(AND(B197&gt;0,A197&lt;=$B$6*12),B197*$B$5/12,0)</f>
        <v/>
      </c>
      <c r="D197" s="20">
        <f>IF(B197&gt;0,MAX(0,B197-(PMT($B$5/12,$B$6*12,-$B$4)-C197+$B$7)),0)</f>
        <v/>
      </c>
    </row>
    <row r="198">
      <c r="A198" t="n">
        <v>182</v>
      </c>
      <c r="B198" s="20">
        <f>D197</f>
        <v/>
      </c>
      <c r="C198" s="20">
        <f>IF(AND(B198&gt;0,A198&lt;=$B$6*12),B198*$B$5/12,0)</f>
        <v/>
      </c>
      <c r="D198" s="20">
        <f>IF(B198&gt;0,MAX(0,B198-(PMT($B$5/12,$B$6*12,-$B$4)-C198+$B$7)),0)</f>
        <v/>
      </c>
    </row>
    <row r="199">
      <c r="A199" t="n">
        <v>183</v>
      </c>
      <c r="B199" s="20">
        <f>D198</f>
        <v/>
      </c>
      <c r="C199" s="20">
        <f>IF(AND(B199&gt;0,A199&lt;=$B$6*12),B199*$B$5/12,0)</f>
        <v/>
      </c>
      <c r="D199" s="20">
        <f>IF(B199&gt;0,MAX(0,B199-(PMT($B$5/12,$B$6*12,-$B$4)-C199+$B$7)),0)</f>
        <v/>
      </c>
    </row>
    <row r="200">
      <c r="A200" t="n">
        <v>184</v>
      </c>
      <c r="B200" s="20">
        <f>D199</f>
        <v/>
      </c>
      <c r="C200" s="20">
        <f>IF(AND(B200&gt;0,A200&lt;=$B$6*12),B200*$B$5/12,0)</f>
        <v/>
      </c>
      <c r="D200" s="20">
        <f>IF(B200&gt;0,MAX(0,B200-(PMT($B$5/12,$B$6*12,-$B$4)-C200+$B$7)),0)</f>
        <v/>
      </c>
    </row>
    <row r="201">
      <c r="A201" t="n">
        <v>185</v>
      </c>
      <c r="B201" s="20">
        <f>D200</f>
        <v/>
      </c>
      <c r="C201" s="20">
        <f>IF(AND(B201&gt;0,A201&lt;=$B$6*12),B201*$B$5/12,0)</f>
        <v/>
      </c>
      <c r="D201" s="20">
        <f>IF(B201&gt;0,MAX(0,B201-(PMT($B$5/12,$B$6*12,-$B$4)-C201+$B$7)),0)</f>
        <v/>
      </c>
    </row>
    <row r="202">
      <c r="A202" t="n">
        <v>186</v>
      </c>
      <c r="B202" s="20">
        <f>D201</f>
        <v/>
      </c>
      <c r="C202" s="20">
        <f>IF(AND(B202&gt;0,A202&lt;=$B$6*12),B202*$B$5/12,0)</f>
        <v/>
      </c>
      <c r="D202" s="20">
        <f>IF(B202&gt;0,MAX(0,B202-(PMT($B$5/12,$B$6*12,-$B$4)-C202+$B$7)),0)</f>
        <v/>
      </c>
    </row>
    <row r="203">
      <c r="A203" t="n">
        <v>187</v>
      </c>
      <c r="B203" s="20">
        <f>D202</f>
        <v/>
      </c>
      <c r="C203" s="20">
        <f>IF(AND(B203&gt;0,A203&lt;=$B$6*12),B203*$B$5/12,0)</f>
        <v/>
      </c>
      <c r="D203" s="20">
        <f>IF(B203&gt;0,MAX(0,B203-(PMT($B$5/12,$B$6*12,-$B$4)-C203+$B$7)),0)</f>
        <v/>
      </c>
    </row>
    <row r="204">
      <c r="A204" t="n">
        <v>188</v>
      </c>
      <c r="B204" s="20">
        <f>D203</f>
        <v/>
      </c>
      <c r="C204" s="20">
        <f>IF(AND(B204&gt;0,A204&lt;=$B$6*12),B204*$B$5/12,0)</f>
        <v/>
      </c>
      <c r="D204" s="20">
        <f>IF(B204&gt;0,MAX(0,B204-(PMT($B$5/12,$B$6*12,-$B$4)-C204+$B$7)),0)</f>
        <v/>
      </c>
    </row>
    <row r="205">
      <c r="A205" t="n">
        <v>189</v>
      </c>
      <c r="B205" s="20">
        <f>D204</f>
        <v/>
      </c>
      <c r="C205" s="20">
        <f>IF(AND(B205&gt;0,A205&lt;=$B$6*12),B205*$B$5/12,0)</f>
        <v/>
      </c>
      <c r="D205" s="20">
        <f>IF(B205&gt;0,MAX(0,B205-(PMT($B$5/12,$B$6*12,-$B$4)-C205+$B$7)),0)</f>
        <v/>
      </c>
    </row>
    <row r="206">
      <c r="A206" t="n">
        <v>190</v>
      </c>
      <c r="B206" s="20">
        <f>D205</f>
        <v/>
      </c>
      <c r="C206" s="20">
        <f>IF(AND(B206&gt;0,A206&lt;=$B$6*12),B206*$B$5/12,0)</f>
        <v/>
      </c>
      <c r="D206" s="20">
        <f>IF(B206&gt;0,MAX(0,B206-(PMT($B$5/12,$B$6*12,-$B$4)-C206+$B$7)),0)</f>
        <v/>
      </c>
    </row>
    <row r="207">
      <c r="A207" t="n">
        <v>191</v>
      </c>
      <c r="B207" s="20">
        <f>D206</f>
        <v/>
      </c>
      <c r="C207" s="20">
        <f>IF(AND(B207&gt;0,A207&lt;=$B$6*12),B207*$B$5/12,0)</f>
        <v/>
      </c>
      <c r="D207" s="20">
        <f>IF(B207&gt;0,MAX(0,B207-(PMT($B$5/12,$B$6*12,-$B$4)-C207+$B$7)),0)</f>
        <v/>
      </c>
    </row>
    <row r="208">
      <c r="A208" t="n">
        <v>192</v>
      </c>
      <c r="B208" s="20">
        <f>D207</f>
        <v/>
      </c>
      <c r="C208" s="20">
        <f>IF(AND(B208&gt;0,A208&lt;=$B$6*12),B208*$B$5/12,0)</f>
        <v/>
      </c>
      <c r="D208" s="20">
        <f>IF(B208&gt;0,MAX(0,B208-(PMT($B$5/12,$B$6*12,-$B$4)-C208+$B$7)),0)</f>
        <v/>
      </c>
    </row>
    <row r="209">
      <c r="A209" t="n">
        <v>193</v>
      </c>
      <c r="B209" s="20">
        <f>D208</f>
        <v/>
      </c>
      <c r="C209" s="20">
        <f>IF(AND(B209&gt;0,A209&lt;=$B$6*12),B209*$B$5/12,0)</f>
        <v/>
      </c>
      <c r="D209" s="20">
        <f>IF(B209&gt;0,MAX(0,B209-(PMT($B$5/12,$B$6*12,-$B$4)-C209+$B$7)),0)</f>
        <v/>
      </c>
    </row>
    <row r="210">
      <c r="A210" t="n">
        <v>194</v>
      </c>
      <c r="B210" s="20">
        <f>D209</f>
        <v/>
      </c>
      <c r="C210" s="20">
        <f>IF(AND(B210&gt;0,A210&lt;=$B$6*12),B210*$B$5/12,0)</f>
        <v/>
      </c>
      <c r="D210" s="20">
        <f>IF(B210&gt;0,MAX(0,B210-(PMT($B$5/12,$B$6*12,-$B$4)-C210+$B$7)),0)</f>
        <v/>
      </c>
    </row>
    <row r="211">
      <c r="A211" t="n">
        <v>195</v>
      </c>
      <c r="B211" s="20">
        <f>D210</f>
        <v/>
      </c>
      <c r="C211" s="20">
        <f>IF(AND(B211&gt;0,A211&lt;=$B$6*12),B211*$B$5/12,0)</f>
        <v/>
      </c>
      <c r="D211" s="20">
        <f>IF(B211&gt;0,MAX(0,B211-(PMT($B$5/12,$B$6*12,-$B$4)-C211+$B$7)),0)</f>
        <v/>
      </c>
    </row>
    <row r="212">
      <c r="A212" t="n">
        <v>196</v>
      </c>
      <c r="B212" s="20">
        <f>D211</f>
        <v/>
      </c>
      <c r="C212" s="20">
        <f>IF(AND(B212&gt;0,A212&lt;=$B$6*12),B212*$B$5/12,0)</f>
        <v/>
      </c>
      <c r="D212" s="20">
        <f>IF(B212&gt;0,MAX(0,B212-(PMT($B$5/12,$B$6*12,-$B$4)-C212+$B$7)),0)</f>
        <v/>
      </c>
    </row>
    <row r="213">
      <c r="A213" t="n">
        <v>197</v>
      </c>
      <c r="B213" s="20">
        <f>D212</f>
        <v/>
      </c>
      <c r="C213" s="20">
        <f>IF(AND(B213&gt;0,A213&lt;=$B$6*12),B213*$B$5/12,0)</f>
        <v/>
      </c>
      <c r="D213" s="20">
        <f>IF(B213&gt;0,MAX(0,B213-(PMT($B$5/12,$B$6*12,-$B$4)-C213+$B$7)),0)</f>
        <v/>
      </c>
    </row>
    <row r="214">
      <c r="A214" t="n">
        <v>198</v>
      </c>
      <c r="B214" s="20">
        <f>D213</f>
        <v/>
      </c>
      <c r="C214" s="20">
        <f>IF(AND(B214&gt;0,A214&lt;=$B$6*12),B214*$B$5/12,0)</f>
        <v/>
      </c>
      <c r="D214" s="20">
        <f>IF(B214&gt;0,MAX(0,B214-(PMT($B$5/12,$B$6*12,-$B$4)-C214+$B$7)),0)</f>
        <v/>
      </c>
    </row>
    <row r="215">
      <c r="A215" t="n">
        <v>199</v>
      </c>
      <c r="B215" s="20">
        <f>D214</f>
        <v/>
      </c>
      <c r="C215" s="20">
        <f>IF(AND(B215&gt;0,A215&lt;=$B$6*12),B215*$B$5/12,0)</f>
        <v/>
      </c>
      <c r="D215" s="20">
        <f>IF(B215&gt;0,MAX(0,B215-(PMT($B$5/12,$B$6*12,-$B$4)-C215+$B$7)),0)</f>
        <v/>
      </c>
    </row>
    <row r="216">
      <c r="A216" t="n">
        <v>200</v>
      </c>
      <c r="B216" s="20">
        <f>D215</f>
        <v/>
      </c>
      <c r="C216" s="20">
        <f>IF(AND(B216&gt;0,A216&lt;=$B$6*12),B216*$B$5/12,0)</f>
        <v/>
      </c>
      <c r="D216" s="20">
        <f>IF(B216&gt;0,MAX(0,B216-(PMT($B$5/12,$B$6*12,-$B$4)-C216+$B$7)),0)</f>
        <v/>
      </c>
    </row>
    <row r="217">
      <c r="A217" t="n">
        <v>201</v>
      </c>
      <c r="B217" s="20">
        <f>D216</f>
        <v/>
      </c>
      <c r="C217" s="20">
        <f>IF(AND(B217&gt;0,A217&lt;=$B$6*12),B217*$B$5/12,0)</f>
        <v/>
      </c>
      <c r="D217" s="20">
        <f>IF(B217&gt;0,MAX(0,B217-(PMT($B$5/12,$B$6*12,-$B$4)-C217+$B$7)),0)</f>
        <v/>
      </c>
    </row>
    <row r="218">
      <c r="A218" t="n">
        <v>202</v>
      </c>
      <c r="B218" s="20">
        <f>D217</f>
        <v/>
      </c>
      <c r="C218" s="20">
        <f>IF(AND(B218&gt;0,A218&lt;=$B$6*12),B218*$B$5/12,0)</f>
        <v/>
      </c>
      <c r="D218" s="20">
        <f>IF(B218&gt;0,MAX(0,B218-(PMT($B$5/12,$B$6*12,-$B$4)-C218+$B$7)),0)</f>
        <v/>
      </c>
    </row>
    <row r="219">
      <c r="A219" t="n">
        <v>203</v>
      </c>
      <c r="B219" s="20">
        <f>D218</f>
        <v/>
      </c>
      <c r="C219" s="20">
        <f>IF(AND(B219&gt;0,A219&lt;=$B$6*12),B219*$B$5/12,0)</f>
        <v/>
      </c>
      <c r="D219" s="20">
        <f>IF(B219&gt;0,MAX(0,B219-(PMT($B$5/12,$B$6*12,-$B$4)-C219+$B$7)),0)</f>
        <v/>
      </c>
    </row>
    <row r="220">
      <c r="A220" t="n">
        <v>204</v>
      </c>
      <c r="B220" s="20">
        <f>D219</f>
        <v/>
      </c>
      <c r="C220" s="20">
        <f>IF(AND(B220&gt;0,A220&lt;=$B$6*12),B220*$B$5/12,0)</f>
        <v/>
      </c>
      <c r="D220" s="20">
        <f>IF(B220&gt;0,MAX(0,B220-(PMT($B$5/12,$B$6*12,-$B$4)-C220+$B$7)),0)</f>
        <v/>
      </c>
    </row>
    <row r="221">
      <c r="A221" t="n">
        <v>205</v>
      </c>
      <c r="B221" s="20">
        <f>D220</f>
        <v/>
      </c>
      <c r="C221" s="20">
        <f>IF(AND(B221&gt;0,A221&lt;=$B$6*12),B221*$B$5/12,0)</f>
        <v/>
      </c>
      <c r="D221" s="20">
        <f>IF(B221&gt;0,MAX(0,B221-(PMT($B$5/12,$B$6*12,-$B$4)-C221+$B$7)),0)</f>
        <v/>
      </c>
    </row>
    <row r="222">
      <c r="A222" t="n">
        <v>206</v>
      </c>
      <c r="B222" s="20">
        <f>D221</f>
        <v/>
      </c>
      <c r="C222" s="20">
        <f>IF(AND(B222&gt;0,A222&lt;=$B$6*12),B222*$B$5/12,0)</f>
        <v/>
      </c>
      <c r="D222" s="20">
        <f>IF(B222&gt;0,MAX(0,B222-(PMT($B$5/12,$B$6*12,-$B$4)-C222+$B$7)),0)</f>
        <v/>
      </c>
    </row>
    <row r="223">
      <c r="A223" t="n">
        <v>207</v>
      </c>
      <c r="B223" s="20">
        <f>D222</f>
        <v/>
      </c>
      <c r="C223" s="20">
        <f>IF(AND(B223&gt;0,A223&lt;=$B$6*12),B223*$B$5/12,0)</f>
        <v/>
      </c>
      <c r="D223" s="20">
        <f>IF(B223&gt;0,MAX(0,B223-(PMT($B$5/12,$B$6*12,-$B$4)-C223+$B$7)),0)</f>
        <v/>
      </c>
    </row>
    <row r="224">
      <c r="A224" t="n">
        <v>208</v>
      </c>
      <c r="B224" s="20">
        <f>D223</f>
        <v/>
      </c>
      <c r="C224" s="20">
        <f>IF(AND(B224&gt;0,A224&lt;=$B$6*12),B224*$B$5/12,0)</f>
        <v/>
      </c>
      <c r="D224" s="20">
        <f>IF(B224&gt;0,MAX(0,B224-(PMT($B$5/12,$B$6*12,-$B$4)-C224+$B$7)),0)</f>
        <v/>
      </c>
    </row>
    <row r="225">
      <c r="A225" t="n">
        <v>209</v>
      </c>
      <c r="B225" s="20">
        <f>D224</f>
        <v/>
      </c>
      <c r="C225" s="20">
        <f>IF(AND(B225&gt;0,A225&lt;=$B$6*12),B225*$B$5/12,0)</f>
        <v/>
      </c>
      <c r="D225" s="20">
        <f>IF(B225&gt;0,MAX(0,B225-(PMT($B$5/12,$B$6*12,-$B$4)-C225+$B$7)),0)</f>
        <v/>
      </c>
    </row>
    <row r="226">
      <c r="A226" t="n">
        <v>210</v>
      </c>
      <c r="B226" s="20">
        <f>D225</f>
        <v/>
      </c>
      <c r="C226" s="20">
        <f>IF(AND(B226&gt;0,A226&lt;=$B$6*12),B226*$B$5/12,0)</f>
        <v/>
      </c>
      <c r="D226" s="20">
        <f>IF(B226&gt;0,MAX(0,B226-(PMT($B$5/12,$B$6*12,-$B$4)-C226+$B$7)),0)</f>
        <v/>
      </c>
    </row>
    <row r="227">
      <c r="A227" t="n">
        <v>211</v>
      </c>
      <c r="B227" s="20">
        <f>D226</f>
        <v/>
      </c>
      <c r="C227" s="20">
        <f>IF(AND(B227&gt;0,A227&lt;=$B$6*12),B227*$B$5/12,0)</f>
        <v/>
      </c>
      <c r="D227" s="20">
        <f>IF(B227&gt;0,MAX(0,B227-(PMT($B$5/12,$B$6*12,-$B$4)-C227+$B$7)),0)</f>
        <v/>
      </c>
    </row>
    <row r="228">
      <c r="A228" t="n">
        <v>212</v>
      </c>
      <c r="B228" s="20">
        <f>D227</f>
        <v/>
      </c>
      <c r="C228" s="20">
        <f>IF(AND(B228&gt;0,A228&lt;=$B$6*12),B228*$B$5/12,0)</f>
        <v/>
      </c>
      <c r="D228" s="20">
        <f>IF(B228&gt;0,MAX(0,B228-(PMT($B$5/12,$B$6*12,-$B$4)-C228+$B$7)),0)</f>
        <v/>
      </c>
    </row>
    <row r="229">
      <c r="A229" t="n">
        <v>213</v>
      </c>
      <c r="B229" s="20">
        <f>D228</f>
        <v/>
      </c>
      <c r="C229" s="20">
        <f>IF(AND(B229&gt;0,A229&lt;=$B$6*12),B229*$B$5/12,0)</f>
        <v/>
      </c>
      <c r="D229" s="20">
        <f>IF(B229&gt;0,MAX(0,B229-(PMT($B$5/12,$B$6*12,-$B$4)-C229+$B$7)),0)</f>
        <v/>
      </c>
    </row>
    <row r="230">
      <c r="A230" t="n">
        <v>214</v>
      </c>
      <c r="B230" s="20">
        <f>D229</f>
        <v/>
      </c>
      <c r="C230" s="20">
        <f>IF(AND(B230&gt;0,A230&lt;=$B$6*12),B230*$B$5/12,0)</f>
        <v/>
      </c>
      <c r="D230" s="20">
        <f>IF(B230&gt;0,MAX(0,B230-(PMT($B$5/12,$B$6*12,-$B$4)-C230+$B$7)),0)</f>
        <v/>
      </c>
    </row>
    <row r="231">
      <c r="A231" t="n">
        <v>215</v>
      </c>
      <c r="B231" s="20">
        <f>D230</f>
        <v/>
      </c>
      <c r="C231" s="20">
        <f>IF(AND(B231&gt;0,A231&lt;=$B$6*12),B231*$B$5/12,0)</f>
        <v/>
      </c>
      <c r="D231" s="20">
        <f>IF(B231&gt;0,MAX(0,B231-(PMT($B$5/12,$B$6*12,-$B$4)-C231+$B$7)),0)</f>
        <v/>
      </c>
    </row>
    <row r="232">
      <c r="A232" t="n">
        <v>216</v>
      </c>
      <c r="B232" s="20">
        <f>D231</f>
        <v/>
      </c>
      <c r="C232" s="20">
        <f>IF(AND(B232&gt;0,A232&lt;=$B$6*12),B232*$B$5/12,0)</f>
        <v/>
      </c>
      <c r="D232" s="20">
        <f>IF(B232&gt;0,MAX(0,B232-(PMT($B$5/12,$B$6*12,-$B$4)-C232+$B$7)),0)</f>
        <v/>
      </c>
    </row>
    <row r="233">
      <c r="A233" t="n">
        <v>217</v>
      </c>
      <c r="B233" s="20">
        <f>D232</f>
        <v/>
      </c>
      <c r="C233" s="20">
        <f>IF(AND(B233&gt;0,A233&lt;=$B$6*12),B233*$B$5/12,0)</f>
        <v/>
      </c>
      <c r="D233" s="20">
        <f>IF(B233&gt;0,MAX(0,B233-(PMT($B$5/12,$B$6*12,-$B$4)-C233+$B$7)),0)</f>
        <v/>
      </c>
    </row>
    <row r="234">
      <c r="A234" t="n">
        <v>218</v>
      </c>
      <c r="B234" s="20">
        <f>D233</f>
        <v/>
      </c>
      <c r="C234" s="20">
        <f>IF(AND(B234&gt;0,A234&lt;=$B$6*12),B234*$B$5/12,0)</f>
        <v/>
      </c>
      <c r="D234" s="20">
        <f>IF(B234&gt;0,MAX(0,B234-(PMT($B$5/12,$B$6*12,-$B$4)-C234+$B$7)),0)</f>
        <v/>
      </c>
    </row>
    <row r="235">
      <c r="A235" t="n">
        <v>219</v>
      </c>
      <c r="B235" s="20">
        <f>D234</f>
        <v/>
      </c>
      <c r="C235" s="20">
        <f>IF(AND(B235&gt;0,A235&lt;=$B$6*12),B235*$B$5/12,0)</f>
        <v/>
      </c>
      <c r="D235" s="20">
        <f>IF(B235&gt;0,MAX(0,B235-(PMT($B$5/12,$B$6*12,-$B$4)-C235+$B$7)),0)</f>
        <v/>
      </c>
    </row>
    <row r="236">
      <c r="A236" t="n">
        <v>220</v>
      </c>
      <c r="B236" s="20">
        <f>D235</f>
        <v/>
      </c>
      <c r="C236" s="20">
        <f>IF(AND(B236&gt;0,A236&lt;=$B$6*12),B236*$B$5/12,0)</f>
        <v/>
      </c>
      <c r="D236" s="20">
        <f>IF(B236&gt;0,MAX(0,B236-(PMT($B$5/12,$B$6*12,-$B$4)-C236+$B$7)),0)</f>
        <v/>
      </c>
    </row>
    <row r="237">
      <c r="A237" t="n">
        <v>221</v>
      </c>
      <c r="B237" s="20">
        <f>D236</f>
        <v/>
      </c>
      <c r="C237" s="20">
        <f>IF(AND(B237&gt;0,A237&lt;=$B$6*12),B237*$B$5/12,0)</f>
        <v/>
      </c>
      <c r="D237" s="20">
        <f>IF(B237&gt;0,MAX(0,B237-(PMT($B$5/12,$B$6*12,-$B$4)-C237+$B$7)),0)</f>
        <v/>
      </c>
    </row>
    <row r="238">
      <c r="A238" t="n">
        <v>222</v>
      </c>
      <c r="B238" s="20">
        <f>D237</f>
        <v/>
      </c>
      <c r="C238" s="20">
        <f>IF(AND(B238&gt;0,A238&lt;=$B$6*12),B238*$B$5/12,0)</f>
        <v/>
      </c>
      <c r="D238" s="20">
        <f>IF(B238&gt;0,MAX(0,B238-(PMT($B$5/12,$B$6*12,-$B$4)-C238+$B$7)),0)</f>
        <v/>
      </c>
    </row>
    <row r="239">
      <c r="A239" t="n">
        <v>223</v>
      </c>
      <c r="B239" s="20">
        <f>D238</f>
        <v/>
      </c>
      <c r="C239" s="20">
        <f>IF(AND(B239&gt;0,A239&lt;=$B$6*12),B239*$B$5/12,0)</f>
        <v/>
      </c>
      <c r="D239" s="20">
        <f>IF(B239&gt;0,MAX(0,B239-(PMT($B$5/12,$B$6*12,-$B$4)-C239+$B$7)),0)</f>
        <v/>
      </c>
    </row>
    <row r="240">
      <c r="A240" t="n">
        <v>224</v>
      </c>
      <c r="B240" s="20">
        <f>D239</f>
        <v/>
      </c>
      <c r="C240" s="20">
        <f>IF(AND(B240&gt;0,A240&lt;=$B$6*12),B240*$B$5/12,0)</f>
        <v/>
      </c>
      <c r="D240" s="20">
        <f>IF(B240&gt;0,MAX(0,B240-(PMT($B$5/12,$B$6*12,-$B$4)-C240+$B$7)),0)</f>
        <v/>
      </c>
    </row>
    <row r="241">
      <c r="A241" t="n">
        <v>225</v>
      </c>
      <c r="B241" s="20">
        <f>D240</f>
        <v/>
      </c>
      <c r="C241" s="20">
        <f>IF(AND(B241&gt;0,A241&lt;=$B$6*12),B241*$B$5/12,0)</f>
        <v/>
      </c>
      <c r="D241" s="20">
        <f>IF(B241&gt;0,MAX(0,B241-(PMT($B$5/12,$B$6*12,-$B$4)-C241+$B$7)),0)</f>
        <v/>
      </c>
    </row>
    <row r="242">
      <c r="A242" t="n">
        <v>226</v>
      </c>
      <c r="B242" s="20">
        <f>D241</f>
        <v/>
      </c>
      <c r="C242" s="20">
        <f>IF(AND(B242&gt;0,A242&lt;=$B$6*12),B242*$B$5/12,0)</f>
        <v/>
      </c>
      <c r="D242" s="20">
        <f>IF(B242&gt;0,MAX(0,B242-(PMT($B$5/12,$B$6*12,-$B$4)-C242+$B$7)),0)</f>
        <v/>
      </c>
    </row>
    <row r="243">
      <c r="A243" t="n">
        <v>227</v>
      </c>
      <c r="B243" s="20">
        <f>D242</f>
        <v/>
      </c>
      <c r="C243" s="20">
        <f>IF(AND(B243&gt;0,A243&lt;=$B$6*12),B243*$B$5/12,0)</f>
        <v/>
      </c>
      <c r="D243" s="20">
        <f>IF(B243&gt;0,MAX(0,B243-(PMT($B$5/12,$B$6*12,-$B$4)-C243+$B$7)),0)</f>
        <v/>
      </c>
    </row>
    <row r="244">
      <c r="A244" t="n">
        <v>228</v>
      </c>
      <c r="B244" s="20">
        <f>D243</f>
        <v/>
      </c>
      <c r="C244" s="20">
        <f>IF(AND(B244&gt;0,A244&lt;=$B$6*12),B244*$B$5/12,0)</f>
        <v/>
      </c>
      <c r="D244" s="20">
        <f>IF(B244&gt;0,MAX(0,B244-(PMT($B$5/12,$B$6*12,-$B$4)-C244+$B$7)),0)</f>
        <v/>
      </c>
    </row>
    <row r="245">
      <c r="A245" t="n">
        <v>229</v>
      </c>
      <c r="B245" s="20">
        <f>D244</f>
        <v/>
      </c>
      <c r="C245" s="20">
        <f>IF(AND(B245&gt;0,A245&lt;=$B$6*12),B245*$B$5/12,0)</f>
        <v/>
      </c>
      <c r="D245" s="20">
        <f>IF(B245&gt;0,MAX(0,B245-(PMT($B$5/12,$B$6*12,-$B$4)-C245+$B$7)),0)</f>
        <v/>
      </c>
    </row>
    <row r="246">
      <c r="A246" t="n">
        <v>230</v>
      </c>
      <c r="B246" s="20">
        <f>D245</f>
        <v/>
      </c>
      <c r="C246" s="20">
        <f>IF(AND(B246&gt;0,A246&lt;=$B$6*12),B246*$B$5/12,0)</f>
        <v/>
      </c>
      <c r="D246" s="20">
        <f>IF(B246&gt;0,MAX(0,B246-(PMT($B$5/12,$B$6*12,-$B$4)-C246+$B$7)),0)</f>
        <v/>
      </c>
    </row>
    <row r="247">
      <c r="A247" t="n">
        <v>231</v>
      </c>
      <c r="B247" s="20">
        <f>D246</f>
        <v/>
      </c>
      <c r="C247" s="20">
        <f>IF(AND(B247&gt;0,A247&lt;=$B$6*12),B247*$B$5/12,0)</f>
        <v/>
      </c>
      <c r="D247" s="20">
        <f>IF(B247&gt;0,MAX(0,B247-(PMT($B$5/12,$B$6*12,-$B$4)-C247+$B$7)),0)</f>
        <v/>
      </c>
    </row>
    <row r="248">
      <c r="A248" t="n">
        <v>232</v>
      </c>
      <c r="B248" s="20">
        <f>D247</f>
        <v/>
      </c>
      <c r="C248" s="20">
        <f>IF(AND(B248&gt;0,A248&lt;=$B$6*12),B248*$B$5/12,0)</f>
        <v/>
      </c>
      <c r="D248" s="20">
        <f>IF(B248&gt;0,MAX(0,B248-(PMT($B$5/12,$B$6*12,-$B$4)-C248+$B$7)),0)</f>
        <v/>
      </c>
    </row>
    <row r="249">
      <c r="A249" t="n">
        <v>233</v>
      </c>
      <c r="B249" s="20">
        <f>D248</f>
        <v/>
      </c>
      <c r="C249" s="20">
        <f>IF(AND(B249&gt;0,A249&lt;=$B$6*12),B249*$B$5/12,0)</f>
        <v/>
      </c>
      <c r="D249" s="20">
        <f>IF(B249&gt;0,MAX(0,B249-(PMT($B$5/12,$B$6*12,-$B$4)-C249+$B$7)),0)</f>
        <v/>
      </c>
    </row>
    <row r="250">
      <c r="A250" t="n">
        <v>234</v>
      </c>
      <c r="B250" s="20">
        <f>D249</f>
        <v/>
      </c>
      <c r="C250" s="20">
        <f>IF(AND(B250&gt;0,A250&lt;=$B$6*12),B250*$B$5/12,0)</f>
        <v/>
      </c>
      <c r="D250" s="20">
        <f>IF(B250&gt;0,MAX(0,B250-(PMT($B$5/12,$B$6*12,-$B$4)-C250+$B$7)),0)</f>
        <v/>
      </c>
    </row>
    <row r="251">
      <c r="A251" t="n">
        <v>235</v>
      </c>
      <c r="B251" s="20">
        <f>D250</f>
        <v/>
      </c>
      <c r="C251" s="20">
        <f>IF(AND(B251&gt;0,A251&lt;=$B$6*12),B251*$B$5/12,0)</f>
        <v/>
      </c>
      <c r="D251" s="20">
        <f>IF(B251&gt;0,MAX(0,B251-(PMT($B$5/12,$B$6*12,-$B$4)-C251+$B$7)),0)</f>
        <v/>
      </c>
    </row>
    <row r="252">
      <c r="A252" t="n">
        <v>236</v>
      </c>
      <c r="B252" s="20">
        <f>D251</f>
        <v/>
      </c>
      <c r="C252" s="20">
        <f>IF(AND(B252&gt;0,A252&lt;=$B$6*12),B252*$B$5/12,0)</f>
        <v/>
      </c>
      <c r="D252" s="20">
        <f>IF(B252&gt;0,MAX(0,B252-(PMT($B$5/12,$B$6*12,-$B$4)-C252+$B$7)),0)</f>
        <v/>
      </c>
    </row>
    <row r="253">
      <c r="A253" t="n">
        <v>237</v>
      </c>
      <c r="B253" s="20">
        <f>D252</f>
        <v/>
      </c>
      <c r="C253" s="20">
        <f>IF(AND(B253&gt;0,A253&lt;=$B$6*12),B253*$B$5/12,0)</f>
        <v/>
      </c>
      <c r="D253" s="20">
        <f>IF(B253&gt;0,MAX(0,B253-(PMT($B$5/12,$B$6*12,-$B$4)-C253+$B$7)),0)</f>
        <v/>
      </c>
    </row>
    <row r="254">
      <c r="A254" t="n">
        <v>238</v>
      </c>
      <c r="B254" s="20">
        <f>D253</f>
        <v/>
      </c>
      <c r="C254" s="20">
        <f>IF(AND(B254&gt;0,A254&lt;=$B$6*12),B254*$B$5/12,0)</f>
        <v/>
      </c>
      <c r="D254" s="20">
        <f>IF(B254&gt;0,MAX(0,B254-(PMT($B$5/12,$B$6*12,-$B$4)-C254+$B$7)),0)</f>
        <v/>
      </c>
    </row>
    <row r="255">
      <c r="A255" t="n">
        <v>239</v>
      </c>
      <c r="B255" s="20">
        <f>D254</f>
        <v/>
      </c>
      <c r="C255" s="20">
        <f>IF(AND(B255&gt;0,A255&lt;=$B$6*12),B255*$B$5/12,0)</f>
        <v/>
      </c>
      <c r="D255" s="20">
        <f>IF(B255&gt;0,MAX(0,B255-(PMT($B$5/12,$B$6*12,-$B$4)-C255+$B$7)),0)</f>
        <v/>
      </c>
    </row>
    <row r="256">
      <c r="A256" t="n">
        <v>240</v>
      </c>
      <c r="B256" s="20">
        <f>D255</f>
        <v/>
      </c>
      <c r="C256" s="20">
        <f>IF(AND(B256&gt;0,A256&lt;=$B$6*12),B256*$B$5/12,0)</f>
        <v/>
      </c>
      <c r="D256" s="20">
        <f>IF(B256&gt;0,MAX(0,B256-(PMT($B$5/12,$B$6*12,-$B$4)-C256+$B$7)),0)</f>
        <v/>
      </c>
    </row>
    <row r="257">
      <c r="A257" t="n">
        <v>241</v>
      </c>
      <c r="B257" s="20">
        <f>D256</f>
        <v/>
      </c>
      <c r="C257" s="20">
        <f>IF(AND(B257&gt;0,A257&lt;=$B$6*12),B257*$B$5/12,0)</f>
        <v/>
      </c>
      <c r="D257" s="20">
        <f>IF(B257&gt;0,MAX(0,B257-(PMT($B$5/12,$B$6*12,-$B$4)-C257+$B$7)),0)</f>
        <v/>
      </c>
    </row>
    <row r="258">
      <c r="A258" t="n">
        <v>242</v>
      </c>
      <c r="B258" s="20">
        <f>D257</f>
        <v/>
      </c>
      <c r="C258" s="20">
        <f>IF(AND(B258&gt;0,A258&lt;=$B$6*12),B258*$B$5/12,0)</f>
        <v/>
      </c>
      <c r="D258" s="20">
        <f>IF(B258&gt;0,MAX(0,B258-(PMT($B$5/12,$B$6*12,-$B$4)-C258+$B$7)),0)</f>
        <v/>
      </c>
    </row>
    <row r="259">
      <c r="A259" t="n">
        <v>243</v>
      </c>
      <c r="B259" s="20">
        <f>D258</f>
        <v/>
      </c>
      <c r="C259" s="20">
        <f>IF(AND(B259&gt;0,A259&lt;=$B$6*12),B259*$B$5/12,0)</f>
        <v/>
      </c>
      <c r="D259" s="20">
        <f>IF(B259&gt;0,MAX(0,B259-(PMT($B$5/12,$B$6*12,-$B$4)-C259+$B$7)),0)</f>
        <v/>
      </c>
    </row>
    <row r="260">
      <c r="A260" t="n">
        <v>244</v>
      </c>
      <c r="B260" s="20">
        <f>D259</f>
        <v/>
      </c>
      <c r="C260" s="20">
        <f>IF(AND(B260&gt;0,A260&lt;=$B$6*12),B260*$B$5/12,0)</f>
        <v/>
      </c>
      <c r="D260" s="20">
        <f>IF(B260&gt;0,MAX(0,B260-(PMT($B$5/12,$B$6*12,-$B$4)-C260+$B$7)),0)</f>
        <v/>
      </c>
    </row>
    <row r="261">
      <c r="A261" t="n">
        <v>245</v>
      </c>
      <c r="B261" s="20">
        <f>D260</f>
        <v/>
      </c>
      <c r="C261" s="20">
        <f>IF(AND(B261&gt;0,A261&lt;=$B$6*12),B261*$B$5/12,0)</f>
        <v/>
      </c>
      <c r="D261" s="20">
        <f>IF(B261&gt;0,MAX(0,B261-(PMT($B$5/12,$B$6*12,-$B$4)-C261+$B$7)),0)</f>
        <v/>
      </c>
    </row>
    <row r="262">
      <c r="A262" t="n">
        <v>246</v>
      </c>
      <c r="B262" s="20">
        <f>D261</f>
        <v/>
      </c>
      <c r="C262" s="20">
        <f>IF(AND(B262&gt;0,A262&lt;=$B$6*12),B262*$B$5/12,0)</f>
        <v/>
      </c>
      <c r="D262" s="20">
        <f>IF(B262&gt;0,MAX(0,B262-(PMT($B$5/12,$B$6*12,-$B$4)-C262+$B$7)),0)</f>
        <v/>
      </c>
    </row>
    <row r="263">
      <c r="A263" t="n">
        <v>247</v>
      </c>
      <c r="B263" s="20">
        <f>D262</f>
        <v/>
      </c>
      <c r="C263" s="20">
        <f>IF(AND(B263&gt;0,A263&lt;=$B$6*12),B263*$B$5/12,0)</f>
        <v/>
      </c>
      <c r="D263" s="20">
        <f>IF(B263&gt;0,MAX(0,B263-(PMT($B$5/12,$B$6*12,-$B$4)-C263+$B$7)),0)</f>
        <v/>
      </c>
    </row>
    <row r="264">
      <c r="A264" t="n">
        <v>248</v>
      </c>
      <c r="B264" s="20">
        <f>D263</f>
        <v/>
      </c>
      <c r="C264" s="20">
        <f>IF(AND(B264&gt;0,A264&lt;=$B$6*12),B264*$B$5/12,0)</f>
        <v/>
      </c>
      <c r="D264" s="20">
        <f>IF(B264&gt;0,MAX(0,B264-(PMT($B$5/12,$B$6*12,-$B$4)-C264+$B$7)),0)</f>
        <v/>
      </c>
    </row>
    <row r="265">
      <c r="A265" t="n">
        <v>249</v>
      </c>
      <c r="B265" s="20">
        <f>D264</f>
        <v/>
      </c>
      <c r="C265" s="20">
        <f>IF(AND(B265&gt;0,A265&lt;=$B$6*12),B265*$B$5/12,0)</f>
        <v/>
      </c>
      <c r="D265" s="20">
        <f>IF(B265&gt;0,MAX(0,B265-(PMT($B$5/12,$B$6*12,-$B$4)-C265+$B$7)),0)</f>
        <v/>
      </c>
    </row>
    <row r="266">
      <c r="A266" t="n">
        <v>250</v>
      </c>
      <c r="B266" s="20">
        <f>D265</f>
        <v/>
      </c>
      <c r="C266" s="20">
        <f>IF(AND(B266&gt;0,A266&lt;=$B$6*12),B266*$B$5/12,0)</f>
        <v/>
      </c>
      <c r="D266" s="20">
        <f>IF(B266&gt;0,MAX(0,B266-(PMT($B$5/12,$B$6*12,-$B$4)-C266+$B$7)),0)</f>
        <v/>
      </c>
    </row>
    <row r="267">
      <c r="A267" t="n">
        <v>251</v>
      </c>
      <c r="B267" s="20">
        <f>D266</f>
        <v/>
      </c>
      <c r="C267" s="20">
        <f>IF(AND(B267&gt;0,A267&lt;=$B$6*12),B267*$B$5/12,0)</f>
        <v/>
      </c>
      <c r="D267" s="20">
        <f>IF(B267&gt;0,MAX(0,B267-(PMT($B$5/12,$B$6*12,-$B$4)-C267+$B$7)),0)</f>
        <v/>
      </c>
    </row>
    <row r="268">
      <c r="A268" t="n">
        <v>252</v>
      </c>
      <c r="B268" s="20">
        <f>D267</f>
        <v/>
      </c>
      <c r="C268" s="20">
        <f>IF(AND(B268&gt;0,A268&lt;=$B$6*12),B268*$B$5/12,0)</f>
        <v/>
      </c>
      <c r="D268" s="20">
        <f>IF(B268&gt;0,MAX(0,B268-(PMT($B$5/12,$B$6*12,-$B$4)-C268+$B$7)),0)</f>
        <v/>
      </c>
    </row>
    <row r="269">
      <c r="A269" t="n">
        <v>253</v>
      </c>
      <c r="B269" s="20">
        <f>D268</f>
        <v/>
      </c>
      <c r="C269" s="20">
        <f>IF(AND(B269&gt;0,A269&lt;=$B$6*12),B269*$B$5/12,0)</f>
        <v/>
      </c>
      <c r="D269" s="20">
        <f>IF(B269&gt;0,MAX(0,B269-(PMT($B$5/12,$B$6*12,-$B$4)-C269+$B$7)),0)</f>
        <v/>
      </c>
    </row>
    <row r="270">
      <c r="A270" t="n">
        <v>254</v>
      </c>
      <c r="B270" s="20">
        <f>D269</f>
        <v/>
      </c>
      <c r="C270" s="20">
        <f>IF(AND(B270&gt;0,A270&lt;=$B$6*12),B270*$B$5/12,0)</f>
        <v/>
      </c>
      <c r="D270" s="20">
        <f>IF(B270&gt;0,MAX(0,B270-(PMT($B$5/12,$B$6*12,-$B$4)-C270+$B$7)),0)</f>
        <v/>
      </c>
    </row>
    <row r="271">
      <c r="A271" t="n">
        <v>255</v>
      </c>
      <c r="B271" s="20">
        <f>D270</f>
        <v/>
      </c>
      <c r="C271" s="20">
        <f>IF(AND(B271&gt;0,A271&lt;=$B$6*12),B271*$B$5/12,0)</f>
        <v/>
      </c>
      <c r="D271" s="20">
        <f>IF(B271&gt;0,MAX(0,B271-(PMT($B$5/12,$B$6*12,-$B$4)-C271+$B$7)),0)</f>
        <v/>
      </c>
    </row>
    <row r="272">
      <c r="A272" t="n">
        <v>256</v>
      </c>
      <c r="B272" s="20">
        <f>D271</f>
        <v/>
      </c>
      <c r="C272" s="20">
        <f>IF(AND(B272&gt;0,A272&lt;=$B$6*12),B272*$B$5/12,0)</f>
        <v/>
      </c>
      <c r="D272" s="20">
        <f>IF(B272&gt;0,MAX(0,B272-(PMT($B$5/12,$B$6*12,-$B$4)-C272+$B$7)),0)</f>
        <v/>
      </c>
    </row>
    <row r="273">
      <c r="A273" t="n">
        <v>257</v>
      </c>
      <c r="B273" s="20">
        <f>D272</f>
        <v/>
      </c>
      <c r="C273" s="20">
        <f>IF(AND(B273&gt;0,A273&lt;=$B$6*12),B273*$B$5/12,0)</f>
        <v/>
      </c>
      <c r="D273" s="20">
        <f>IF(B273&gt;0,MAX(0,B273-(PMT($B$5/12,$B$6*12,-$B$4)-C273+$B$7)),0)</f>
        <v/>
      </c>
    </row>
    <row r="274">
      <c r="A274" t="n">
        <v>258</v>
      </c>
      <c r="B274" s="20">
        <f>D273</f>
        <v/>
      </c>
      <c r="C274" s="20">
        <f>IF(AND(B274&gt;0,A274&lt;=$B$6*12),B274*$B$5/12,0)</f>
        <v/>
      </c>
      <c r="D274" s="20">
        <f>IF(B274&gt;0,MAX(0,B274-(PMT($B$5/12,$B$6*12,-$B$4)-C274+$B$7)),0)</f>
        <v/>
      </c>
    </row>
    <row r="275">
      <c r="A275" t="n">
        <v>259</v>
      </c>
      <c r="B275" s="20">
        <f>D274</f>
        <v/>
      </c>
      <c r="C275" s="20">
        <f>IF(AND(B275&gt;0,A275&lt;=$B$6*12),B275*$B$5/12,0)</f>
        <v/>
      </c>
      <c r="D275" s="20">
        <f>IF(B275&gt;0,MAX(0,B275-(PMT($B$5/12,$B$6*12,-$B$4)-C275+$B$7)),0)</f>
        <v/>
      </c>
    </row>
    <row r="276">
      <c r="A276" t="n">
        <v>260</v>
      </c>
      <c r="B276" s="20">
        <f>D275</f>
        <v/>
      </c>
      <c r="C276" s="20">
        <f>IF(AND(B276&gt;0,A276&lt;=$B$6*12),B276*$B$5/12,0)</f>
        <v/>
      </c>
      <c r="D276" s="20">
        <f>IF(B276&gt;0,MAX(0,B276-(PMT($B$5/12,$B$6*12,-$B$4)-C276+$B$7)),0)</f>
        <v/>
      </c>
    </row>
    <row r="277">
      <c r="A277" t="n">
        <v>261</v>
      </c>
      <c r="B277" s="20">
        <f>D276</f>
        <v/>
      </c>
      <c r="C277" s="20">
        <f>IF(AND(B277&gt;0,A277&lt;=$B$6*12),B277*$B$5/12,0)</f>
        <v/>
      </c>
      <c r="D277" s="20">
        <f>IF(B277&gt;0,MAX(0,B277-(PMT($B$5/12,$B$6*12,-$B$4)-C277+$B$7)),0)</f>
        <v/>
      </c>
    </row>
    <row r="278">
      <c r="A278" t="n">
        <v>262</v>
      </c>
      <c r="B278" s="20">
        <f>D277</f>
        <v/>
      </c>
      <c r="C278" s="20">
        <f>IF(AND(B278&gt;0,A278&lt;=$B$6*12),B278*$B$5/12,0)</f>
        <v/>
      </c>
      <c r="D278" s="20">
        <f>IF(B278&gt;0,MAX(0,B278-(PMT($B$5/12,$B$6*12,-$B$4)-C278+$B$7)),0)</f>
        <v/>
      </c>
    </row>
    <row r="279">
      <c r="A279" t="n">
        <v>263</v>
      </c>
      <c r="B279" s="20">
        <f>D278</f>
        <v/>
      </c>
      <c r="C279" s="20">
        <f>IF(AND(B279&gt;0,A279&lt;=$B$6*12),B279*$B$5/12,0)</f>
        <v/>
      </c>
      <c r="D279" s="20">
        <f>IF(B279&gt;0,MAX(0,B279-(PMT($B$5/12,$B$6*12,-$B$4)-C279+$B$7)),0)</f>
        <v/>
      </c>
    </row>
    <row r="280">
      <c r="A280" t="n">
        <v>264</v>
      </c>
      <c r="B280" s="20">
        <f>D279</f>
        <v/>
      </c>
      <c r="C280" s="20">
        <f>IF(AND(B280&gt;0,A280&lt;=$B$6*12),B280*$B$5/12,0)</f>
        <v/>
      </c>
      <c r="D280" s="20">
        <f>IF(B280&gt;0,MAX(0,B280-(PMT($B$5/12,$B$6*12,-$B$4)-C280+$B$7)),0)</f>
        <v/>
      </c>
    </row>
    <row r="281">
      <c r="A281" t="n">
        <v>265</v>
      </c>
      <c r="B281" s="20">
        <f>D280</f>
        <v/>
      </c>
      <c r="C281" s="20">
        <f>IF(AND(B281&gt;0,A281&lt;=$B$6*12),B281*$B$5/12,0)</f>
        <v/>
      </c>
      <c r="D281" s="20">
        <f>IF(B281&gt;0,MAX(0,B281-(PMT($B$5/12,$B$6*12,-$B$4)-C281+$B$7)),0)</f>
        <v/>
      </c>
    </row>
    <row r="282">
      <c r="A282" t="n">
        <v>266</v>
      </c>
      <c r="B282" s="20">
        <f>D281</f>
        <v/>
      </c>
      <c r="C282" s="20">
        <f>IF(AND(B282&gt;0,A282&lt;=$B$6*12),B282*$B$5/12,0)</f>
        <v/>
      </c>
      <c r="D282" s="20">
        <f>IF(B282&gt;0,MAX(0,B282-(PMT($B$5/12,$B$6*12,-$B$4)-C282+$B$7)),0)</f>
        <v/>
      </c>
    </row>
    <row r="283">
      <c r="A283" t="n">
        <v>267</v>
      </c>
      <c r="B283" s="20">
        <f>D282</f>
        <v/>
      </c>
      <c r="C283" s="20">
        <f>IF(AND(B283&gt;0,A283&lt;=$B$6*12),B283*$B$5/12,0)</f>
        <v/>
      </c>
      <c r="D283" s="20">
        <f>IF(B283&gt;0,MAX(0,B283-(PMT($B$5/12,$B$6*12,-$B$4)-C283+$B$7)),0)</f>
        <v/>
      </c>
    </row>
    <row r="284">
      <c r="A284" t="n">
        <v>268</v>
      </c>
      <c r="B284" s="20">
        <f>D283</f>
        <v/>
      </c>
      <c r="C284" s="20">
        <f>IF(AND(B284&gt;0,A284&lt;=$B$6*12),B284*$B$5/12,0)</f>
        <v/>
      </c>
      <c r="D284" s="20">
        <f>IF(B284&gt;0,MAX(0,B284-(PMT($B$5/12,$B$6*12,-$B$4)-C284+$B$7)),0)</f>
        <v/>
      </c>
    </row>
    <row r="285">
      <c r="A285" t="n">
        <v>269</v>
      </c>
      <c r="B285" s="20">
        <f>D284</f>
        <v/>
      </c>
      <c r="C285" s="20">
        <f>IF(AND(B285&gt;0,A285&lt;=$B$6*12),B285*$B$5/12,0)</f>
        <v/>
      </c>
      <c r="D285" s="20">
        <f>IF(B285&gt;0,MAX(0,B285-(PMT($B$5/12,$B$6*12,-$B$4)-C285+$B$7)),0)</f>
        <v/>
      </c>
    </row>
    <row r="286">
      <c r="A286" t="n">
        <v>270</v>
      </c>
      <c r="B286" s="20">
        <f>D285</f>
        <v/>
      </c>
      <c r="C286" s="20">
        <f>IF(AND(B286&gt;0,A286&lt;=$B$6*12),B286*$B$5/12,0)</f>
        <v/>
      </c>
      <c r="D286" s="20">
        <f>IF(B286&gt;0,MAX(0,B286-(PMT($B$5/12,$B$6*12,-$B$4)-C286+$B$7)),0)</f>
        <v/>
      </c>
    </row>
    <row r="287">
      <c r="A287" t="n">
        <v>271</v>
      </c>
      <c r="B287" s="20">
        <f>D286</f>
        <v/>
      </c>
      <c r="C287" s="20">
        <f>IF(AND(B287&gt;0,A287&lt;=$B$6*12),B287*$B$5/12,0)</f>
        <v/>
      </c>
      <c r="D287" s="20">
        <f>IF(B287&gt;0,MAX(0,B287-(PMT($B$5/12,$B$6*12,-$B$4)-C287+$B$7)),0)</f>
        <v/>
      </c>
    </row>
    <row r="288">
      <c r="A288" t="n">
        <v>272</v>
      </c>
      <c r="B288" s="20">
        <f>D287</f>
        <v/>
      </c>
      <c r="C288" s="20">
        <f>IF(AND(B288&gt;0,A288&lt;=$B$6*12),B288*$B$5/12,0)</f>
        <v/>
      </c>
      <c r="D288" s="20">
        <f>IF(B288&gt;0,MAX(0,B288-(PMT($B$5/12,$B$6*12,-$B$4)-C288+$B$7)),0)</f>
        <v/>
      </c>
    </row>
    <row r="289">
      <c r="A289" t="n">
        <v>273</v>
      </c>
      <c r="B289" s="20">
        <f>D288</f>
        <v/>
      </c>
      <c r="C289" s="20">
        <f>IF(AND(B289&gt;0,A289&lt;=$B$6*12),B289*$B$5/12,0)</f>
        <v/>
      </c>
      <c r="D289" s="20">
        <f>IF(B289&gt;0,MAX(0,B289-(PMT($B$5/12,$B$6*12,-$B$4)-C289+$B$7)),0)</f>
        <v/>
      </c>
    </row>
    <row r="290">
      <c r="A290" t="n">
        <v>274</v>
      </c>
      <c r="B290" s="20">
        <f>D289</f>
        <v/>
      </c>
      <c r="C290" s="20">
        <f>IF(AND(B290&gt;0,A290&lt;=$B$6*12),B290*$B$5/12,0)</f>
        <v/>
      </c>
      <c r="D290" s="20">
        <f>IF(B290&gt;0,MAX(0,B290-(PMT($B$5/12,$B$6*12,-$B$4)-C290+$B$7)),0)</f>
        <v/>
      </c>
    </row>
    <row r="291">
      <c r="A291" t="n">
        <v>275</v>
      </c>
      <c r="B291" s="20">
        <f>D290</f>
        <v/>
      </c>
      <c r="C291" s="20">
        <f>IF(AND(B291&gt;0,A291&lt;=$B$6*12),B291*$B$5/12,0)</f>
        <v/>
      </c>
      <c r="D291" s="20">
        <f>IF(B291&gt;0,MAX(0,B291-(PMT($B$5/12,$B$6*12,-$B$4)-C291+$B$7)),0)</f>
        <v/>
      </c>
    </row>
    <row r="292">
      <c r="A292" t="n">
        <v>276</v>
      </c>
      <c r="B292" s="20">
        <f>D291</f>
        <v/>
      </c>
      <c r="C292" s="20">
        <f>IF(AND(B292&gt;0,A292&lt;=$B$6*12),B292*$B$5/12,0)</f>
        <v/>
      </c>
      <c r="D292" s="20">
        <f>IF(B292&gt;0,MAX(0,B292-(PMT($B$5/12,$B$6*12,-$B$4)-C292+$B$7)),0)</f>
        <v/>
      </c>
    </row>
    <row r="293">
      <c r="A293" t="n">
        <v>277</v>
      </c>
      <c r="B293" s="20">
        <f>D292</f>
        <v/>
      </c>
      <c r="C293" s="20">
        <f>IF(AND(B293&gt;0,A293&lt;=$B$6*12),B293*$B$5/12,0)</f>
        <v/>
      </c>
      <c r="D293" s="20">
        <f>IF(B293&gt;0,MAX(0,B293-(PMT($B$5/12,$B$6*12,-$B$4)-C293+$B$7)),0)</f>
        <v/>
      </c>
    </row>
    <row r="294">
      <c r="A294" t="n">
        <v>278</v>
      </c>
      <c r="B294" s="20">
        <f>D293</f>
        <v/>
      </c>
      <c r="C294" s="20">
        <f>IF(AND(B294&gt;0,A294&lt;=$B$6*12),B294*$B$5/12,0)</f>
        <v/>
      </c>
      <c r="D294" s="20">
        <f>IF(B294&gt;0,MAX(0,B294-(PMT($B$5/12,$B$6*12,-$B$4)-C294+$B$7)),0)</f>
        <v/>
      </c>
    </row>
    <row r="295">
      <c r="A295" t="n">
        <v>279</v>
      </c>
      <c r="B295" s="20">
        <f>D294</f>
        <v/>
      </c>
      <c r="C295" s="20">
        <f>IF(AND(B295&gt;0,A295&lt;=$B$6*12),B295*$B$5/12,0)</f>
        <v/>
      </c>
      <c r="D295" s="20">
        <f>IF(B295&gt;0,MAX(0,B295-(PMT($B$5/12,$B$6*12,-$B$4)-C295+$B$7)),0)</f>
        <v/>
      </c>
    </row>
    <row r="296">
      <c r="A296" t="n">
        <v>280</v>
      </c>
      <c r="B296" s="20">
        <f>D295</f>
        <v/>
      </c>
      <c r="C296" s="20">
        <f>IF(AND(B296&gt;0,A296&lt;=$B$6*12),B296*$B$5/12,0)</f>
        <v/>
      </c>
      <c r="D296" s="20">
        <f>IF(B296&gt;0,MAX(0,B296-(PMT($B$5/12,$B$6*12,-$B$4)-C296+$B$7)),0)</f>
        <v/>
      </c>
    </row>
    <row r="297">
      <c r="A297" t="n">
        <v>281</v>
      </c>
      <c r="B297" s="20">
        <f>D296</f>
        <v/>
      </c>
      <c r="C297" s="20">
        <f>IF(AND(B297&gt;0,A297&lt;=$B$6*12),B297*$B$5/12,0)</f>
        <v/>
      </c>
      <c r="D297" s="20">
        <f>IF(B297&gt;0,MAX(0,B297-(PMT($B$5/12,$B$6*12,-$B$4)-C297+$B$7)),0)</f>
        <v/>
      </c>
    </row>
    <row r="298">
      <c r="A298" t="n">
        <v>282</v>
      </c>
      <c r="B298" s="20">
        <f>D297</f>
        <v/>
      </c>
      <c r="C298" s="20">
        <f>IF(AND(B298&gt;0,A298&lt;=$B$6*12),B298*$B$5/12,0)</f>
        <v/>
      </c>
      <c r="D298" s="20">
        <f>IF(B298&gt;0,MAX(0,B298-(PMT($B$5/12,$B$6*12,-$B$4)-C298+$B$7)),0)</f>
        <v/>
      </c>
    </row>
    <row r="299">
      <c r="A299" t="n">
        <v>283</v>
      </c>
      <c r="B299" s="20">
        <f>D298</f>
        <v/>
      </c>
      <c r="C299" s="20">
        <f>IF(AND(B299&gt;0,A299&lt;=$B$6*12),B299*$B$5/12,0)</f>
        <v/>
      </c>
      <c r="D299" s="20">
        <f>IF(B299&gt;0,MAX(0,B299-(PMT($B$5/12,$B$6*12,-$B$4)-C299+$B$7)),0)</f>
        <v/>
      </c>
    </row>
    <row r="300">
      <c r="A300" t="n">
        <v>284</v>
      </c>
      <c r="B300" s="20">
        <f>D299</f>
        <v/>
      </c>
      <c r="C300" s="20">
        <f>IF(AND(B300&gt;0,A300&lt;=$B$6*12),B300*$B$5/12,0)</f>
        <v/>
      </c>
      <c r="D300" s="20">
        <f>IF(B300&gt;0,MAX(0,B300-(PMT($B$5/12,$B$6*12,-$B$4)-C300+$B$7)),0)</f>
        <v/>
      </c>
    </row>
    <row r="301">
      <c r="A301" t="n">
        <v>285</v>
      </c>
      <c r="B301" s="20">
        <f>D300</f>
        <v/>
      </c>
      <c r="C301" s="20">
        <f>IF(AND(B301&gt;0,A301&lt;=$B$6*12),B301*$B$5/12,0)</f>
        <v/>
      </c>
      <c r="D301" s="20">
        <f>IF(B301&gt;0,MAX(0,B301-(PMT($B$5/12,$B$6*12,-$B$4)-C301+$B$7)),0)</f>
        <v/>
      </c>
    </row>
    <row r="302">
      <c r="A302" t="n">
        <v>286</v>
      </c>
      <c r="B302" s="20">
        <f>D301</f>
        <v/>
      </c>
      <c r="C302" s="20">
        <f>IF(AND(B302&gt;0,A302&lt;=$B$6*12),B302*$B$5/12,0)</f>
        <v/>
      </c>
      <c r="D302" s="20">
        <f>IF(B302&gt;0,MAX(0,B302-(PMT($B$5/12,$B$6*12,-$B$4)-C302+$B$7)),0)</f>
        <v/>
      </c>
    </row>
    <row r="303">
      <c r="A303" t="n">
        <v>287</v>
      </c>
      <c r="B303" s="20">
        <f>D302</f>
        <v/>
      </c>
      <c r="C303" s="20">
        <f>IF(AND(B303&gt;0,A303&lt;=$B$6*12),B303*$B$5/12,0)</f>
        <v/>
      </c>
      <c r="D303" s="20">
        <f>IF(B303&gt;0,MAX(0,B303-(PMT($B$5/12,$B$6*12,-$B$4)-C303+$B$7)),0)</f>
        <v/>
      </c>
    </row>
    <row r="304">
      <c r="A304" t="n">
        <v>288</v>
      </c>
      <c r="B304" s="20">
        <f>D303</f>
        <v/>
      </c>
      <c r="C304" s="20">
        <f>IF(AND(B304&gt;0,A304&lt;=$B$6*12),B304*$B$5/12,0)</f>
        <v/>
      </c>
      <c r="D304" s="20">
        <f>IF(B304&gt;0,MAX(0,B304-(PMT($B$5/12,$B$6*12,-$B$4)-C304+$B$7)),0)</f>
        <v/>
      </c>
    </row>
    <row r="305">
      <c r="A305" t="n">
        <v>289</v>
      </c>
      <c r="B305" s="20">
        <f>D304</f>
        <v/>
      </c>
      <c r="C305" s="20">
        <f>IF(AND(B305&gt;0,A305&lt;=$B$6*12),B305*$B$5/12,0)</f>
        <v/>
      </c>
      <c r="D305" s="20">
        <f>IF(B305&gt;0,MAX(0,B305-(PMT($B$5/12,$B$6*12,-$B$4)-C305+$B$7)),0)</f>
        <v/>
      </c>
    </row>
    <row r="306">
      <c r="A306" t="n">
        <v>290</v>
      </c>
      <c r="B306" s="20">
        <f>D305</f>
        <v/>
      </c>
      <c r="C306" s="20">
        <f>IF(AND(B306&gt;0,A306&lt;=$B$6*12),B306*$B$5/12,0)</f>
        <v/>
      </c>
      <c r="D306" s="20">
        <f>IF(B306&gt;0,MAX(0,B306-(PMT($B$5/12,$B$6*12,-$B$4)-C306+$B$7)),0)</f>
        <v/>
      </c>
    </row>
    <row r="307">
      <c r="A307" t="n">
        <v>291</v>
      </c>
      <c r="B307" s="20">
        <f>D306</f>
        <v/>
      </c>
      <c r="C307" s="20">
        <f>IF(AND(B307&gt;0,A307&lt;=$B$6*12),B307*$B$5/12,0)</f>
        <v/>
      </c>
      <c r="D307" s="20">
        <f>IF(B307&gt;0,MAX(0,B307-(PMT($B$5/12,$B$6*12,-$B$4)-C307+$B$7)),0)</f>
        <v/>
      </c>
    </row>
    <row r="308">
      <c r="A308" t="n">
        <v>292</v>
      </c>
      <c r="B308" s="20">
        <f>D307</f>
        <v/>
      </c>
      <c r="C308" s="20">
        <f>IF(AND(B308&gt;0,A308&lt;=$B$6*12),B308*$B$5/12,0)</f>
        <v/>
      </c>
      <c r="D308" s="20">
        <f>IF(B308&gt;0,MAX(0,B308-(PMT($B$5/12,$B$6*12,-$B$4)-C308+$B$7)),0)</f>
        <v/>
      </c>
    </row>
    <row r="309">
      <c r="A309" t="n">
        <v>293</v>
      </c>
      <c r="B309" s="20">
        <f>D308</f>
        <v/>
      </c>
      <c r="C309" s="20">
        <f>IF(AND(B309&gt;0,A309&lt;=$B$6*12),B309*$B$5/12,0)</f>
        <v/>
      </c>
      <c r="D309" s="20">
        <f>IF(B309&gt;0,MAX(0,B309-(PMT($B$5/12,$B$6*12,-$B$4)-C309+$B$7)),0)</f>
        <v/>
      </c>
    </row>
    <row r="310">
      <c r="A310" t="n">
        <v>294</v>
      </c>
      <c r="B310" s="20">
        <f>D309</f>
        <v/>
      </c>
      <c r="C310" s="20">
        <f>IF(AND(B310&gt;0,A310&lt;=$B$6*12),B310*$B$5/12,0)</f>
        <v/>
      </c>
      <c r="D310" s="20">
        <f>IF(B310&gt;0,MAX(0,B310-(PMT($B$5/12,$B$6*12,-$B$4)-C310+$B$7)),0)</f>
        <v/>
      </c>
    </row>
    <row r="311">
      <c r="A311" t="n">
        <v>295</v>
      </c>
      <c r="B311" s="20">
        <f>D310</f>
        <v/>
      </c>
      <c r="C311" s="20">
        <f>IF(AND(B311&gt;0,A311&lt;=$B$6*12),B311*$B$5/12,0)</f>
        <v/>
      </c>
      <c r="D311" s="20">
        <f>IF(B311&gt;0,MAX(0,B311-(PMT($B$5/12,$B$6*12,-$B$4)-C311+$B$7)),0)</f>
        <v/>
      </c>
    </row>
    <row r="312">
      <c r="A312" t="n">
        <v>296</v>
      </c>
      <c r="B312" s="20">
        <f>D311</f>
        <v/>
      </c>
      <c r="C312" s="20">
        <f>IF(AND(B312&gt;0,A312&lt;=$B$6*12),B312*$B$5/12,0)</f>
        <v/>
      </c>
      <c r="D312" s="20">
        <f>IF(B312&gt;0,MAX(0,B312-(PMT($B$5/12,$B$6*12,-$B$4)-C312+$B$7)),0)</f>
        <v/>
      </c>
    </row>
    <row r="313">
      <c r="A313" t="n">
        <v>297</v>
      </c>
      <c r="B313" s="20">
        <f>D312</f>
        <v/>
      </c>
      <c r="C313" s="20">
        <f>IF(AND(B313&gt;0,A313&lt;=$B$6*12),B313*$B$5/12,0)</f>
        <v/>
      </c>
      <c r="D313" s="20">
        <f>IF(B313&gt;0,MAX(0,B313-(PMT($B$5/12,$B$6*12,-$B$4)-C313+$B$7)),0)</f>
        <v/>
      </c>
    </row>
    <row r="314">
      <c r="A314" t="n">
        <v>298</v>
      </c>
      <c r="B314" s="20">
        <f>D313</f>
        <v/>
      </c>
      <c r="C314" s="20">
        <f>IF(AND(B314&gt;0,A314&lt;=$B$6*12),B314*$B$5/12,0)</f>
        <v/>
      </c>
      <c r="D314" s="20">
        <f>IF(B314&gt;0,MAX(0,B314-(PMT($B$5/12,$B$6*12,-$B$4)-C314+$B$7)),0)</f>
        <v/>
      </c>
    </row>
    <row r="315">
      <c r="A315" t="n">
        <v>299</v>
      </c>
      <c r="B315" s="20">
        <f>D314</f>
        <v/>
      </c>
      <c r="C315" s="20">
        <f>IF(AND(B315&gt;0,A315&lt;=$B$6*12),B315*$B$5/12,0)</f>
        <v/>
      </c>
      <c r="D315" s="20">
        <f>IF(B315&gt;0,MAX(0,B315-(PMT($B$5/12,$B$6*12,-$B$4)-C315+$B$7)),0)</f>
        <v/>
      </c>
    </row>
    <row r="316">
      <c r="A316" t="n">
        <v>300</v>
      </c>
      <c r="B316" s="20">
        <f>D315</f>
        <v/>
      </c>
      <c r="C316" s="20">
        <f>IF(AND(B316&gt;0,A316&lt;=$B$6*12),B316*$B$5/12,0)</f>
        <v/>
      </c>
      <c r="D316" s="20">
        <f>IF(B316&gt;0,MAX(0,B316-(PMT($B$5/12,$B$6*12,-$B$4)-C316+$B$7)),0)</f>
        <v/>
      </c>
    </row>
    <row r="317">
      <c r="A317" t="n">
        <v>301</v>
      </c>
      <c r="B317" s="20">
        <f>D316</f>
        <v/>
      </c>
      <c r="C317" s="20">
        <f>IF(AND(B317&gt;0,A317&lt;=$B$6*12),B317*$B$5/12,0)</f>
        <v/>
      </c>
      <c r="D317" s="20">
        <f>IF(B317&gt;0,MAX(0,B317-(PMT($B$5/12,$B$6*12,-$B$4)-C317+$B$7)),0)</f>
        <v/>
      </c>
    </row>
    <row r="318">
      <c r="A318" t="n">
        <v>302</v>
      </c>
      <c r="B318" s="20">
        <f>D317</f>
        <v/>
      </c>
      <c r="C318" s="20">
        <f>IF(AND(B318&gt;0,A318&lt;=$B$6*12),B318*$B$5/12,0)</f>
        <v/>
      </c>
      <c r="D318" s="20">
        <f>IF(B318&gt;0,MAX(0,B318-(PMT($B$5/12,$B$6*12,-$B$4)-C318+$B$7)),0)</f>
        <v/>
      </c>
    </row>
    <row r="319">
      <c r="A319" t="n">
        <v>303</v>
      </c>
      <c r="B319" s="20">
        <f>D318</f>
        <v/>
      </c>
      <c r="C319" s="20">
        <f>IF(AND(B319&gt;0,A319&lt;=$B$6*12),B319*$B$5/12,0)</f>
        <v/>
      </c>
      <c r="D319" s="20">
        <f>IF(B319&gt;0,MAX(0,B319-(PMT($B$5/12,$B$6*12,-$B$4)-C319+$B$7)),0)</f>
        <v/>
      </c>
    </row>
    <row r="320">
      <c r="A320" t="n">
        <v>304</v>
      </c>
      <c r="B320" s="20">
        <f>D319</f>
        <v/>
      </c>
      <c r="C320" s="20">
        <f>IF(AND(B320&gt;0,A320&lt;=$B$6*12),B320*$B$5/12,0)</f>
        <v/>
      </c>
      <c r="D320" s="20">
        <f>IF(B320&gt;0,MAX(0,B320-(PMT($B$5/12,$B$6*12,-$B$4)-C320+$B$7)),0)</f>
        <v/>
      </c>
    </row>
    <row r="321">
      <c r="A321" t="n">
        <v>305</v>
      </c>
      <c r="B321" s="20">
        <f>D320</f>
        <v/>
      </c>
      <c r="C321" s="20">
        <f>IF(AND(B321&gt;0,A321&lt;=$B$6*12),B321*$B$5/12,0)</f>
        <v/>
      </c>
      <c r="D321" s="20">
        <f>IF(B321&gt;0,MAX(0,B321-(PMT($B$5/12,$B$6*12,-$B$4)-C321+$B$7)),0)</f>
        <v/>
      </c>
    </row>
    <row r="322">
      <c r="A322" t="n">
        <v>306</v>
      </c>
      <c r="B322" s="20">
        <f>D321</f>
        <v/>
      </c>
      <c r="C322" s="20">
        <f>IF(AND(B322&gt;0,A322&lt;=$B$6*12),B322*$B$5/12,0)</f>
        <v/>
      </c>
      <c r="D322" s="20">
        <f>IF(B322&gt;0,MAX(0,B322-(PMT($B$5/12,$B$6*12,-$B$4)-C322+$B$7)),0)</f>
        <v/>
      </c>
    </row>
    <row r="323">
      <c r="A323" t="n">
        <v>307</v>
      </c>
      <c r="B323" s="20">
        <f>D322</f>
        <v/>
      </c>
      <c r="C323" s="20">
        <f>IF(AND(B323&gt;0,A323&lt;=$B$6*12),B323*$B$5/12,0)</f>
        <v/>
      </c>
      <c r="D323" s="20">
        <f>IF(B323&gt;0,MAX(0,B323-(PMT($B$5/12,$B$6*12,-$B$4)-C323+$B$7)),0)</f>
        <v/>
      </c>
    </row>
    <row r="324">
      <c r="A324" t="n">
        <v>308</v>
      </c>
      <c r="B324" s="20">
        <f>D323</f>
        <v/>
      </c>
      <c r="C324" s="20">
        <f>IF(AND(B324&gt;0,A324&lt;=$B$6*12),B324*$B$5/12,0)</f>
        <v/>
      </c>
      <c r="D324" s="20">
        <f>IF(B324&gt;0,MAX(0,B324-(PMT($B$5/12,$B$6*12,-$B$4)-C324+$B$7)),0)</f>
        <v/>
      </c>
    </row>
    <row r="325">
      <c r="A325" t="n">
        <v>309</v>
      </c>
      <c r="B325" s="20">
        <f>D324</f>
        <v/>
      </c>
      <c r="C325" s="20">
        <f>IF(AND(B325&gt;0,A325&lt;=$B$6*12),B325*$B$5/12,0)</f>
        <v/>
      </c>
      <c r="D325" s="20">
        <f>IF(B325&gt;0,MAX(0,B325-(PMT($B$5/12,$B$6*12,-$B$4)-C325+$B$7)),0)</f>
        <v/>
      </c>
    </row>
    <row r="326">
      <c r="A326" t="n">
        <v>310</v>
      </c>
      <c r="B326" s="20">
        <f>D325</f>
        <v/>
      </c>
      <c r="C326" s="20">
        <f>IF(AND(B326&gt;0,A326&lt;=$B$6*12),B326*$B$5/12,0)</f>
        <v/>
      </c>
      <c r="D326" s="20">
        <f>IF(B326&gt;0,MAX(0,B326-(PMT($B$5/12,$B$6*12,-$B$4)-C326+$B$7)),0)</f>
        <v/>
      </c>
    </row>
    <row r="327">
      <c r="A327" t="n">
        <v>311</v>
      </c>
      <c r="B327" s="20">
        <f>D326</f>
        <v/>
      </c>
      <c r="C327" s="20">
        <f>IF(AND(B327&gt;0,A327&lt;=$B$6*12),B327*$B$5/12,0)</f>
        <v/>
      </c>
      <c r="D327" s="20">
        <f>IF(B327&gt;0,MAX(0,B327-(PMT($B$5/12,$B$6*12,-$B$4)-C327+$B$7)),0)</f>
        <v/>
      </c>
    </row>
    <row r="328">
      <c r="A328" t="n">
        <v>312</v>
      </c>
      <c r="B328" s="20">
        <f>D327</f>
        <v/>
      </c>
      <c r="C328" s="20">
        <f>IF(AND(B328&gt;0,A328&lt;=$B$6*12),B328*$B$5/12,0)</f>
        <v/>
      </c>
      <c r="D328" s="20">
        <f>IF(B328&gt;0,MAX(0,B328-(PMT($B$5/12,$B$6*12,-$B$4)-C328+$B$7)),0)</f>
        <v/>
      </c>
    </row>
    <row r="329">
      <c r="A329" t="n">
        <v>313</v>
      </c>
      <c r="B329" s="20">
        <f>D328</f>
        <v/>
      </c>
      <c r="C329" s="20">
        <f>IF(AND(B329&gt;0,A329&lt;=$B$6*12),B329*$B$5/12,0)</f>
        <v/>
      </c>
      <c r="D329" s="20">
        <f>IF(B329&gt;0,MAX(0,B329-(PMT($B$5/12,$B$6*12,-$B$4)-C329+$B$7)),0)</f>
        <v/>
      </c>
    </row>
    <row r="330">
      <c r="A330" t="n">
        <v>314</v>
      </c>
      <c r="B330" s="20">
        <f>D329</f>
        <v/>
      </c>
      <c r="C330" s="20">
        <f>IF(AND(B330&gt;0,A330&lt;=$B$6*12),B330*$B$5/12,0)</f>
        <v/>
      </c>
      <c r="D330" s="20">
        <f>IF(B330&gt;0,MAX(0,B330-(PMT($B$5/12,$B$6*12,-$B$4)-C330+$B$7)),0)</f>
        <v/>
      </c>
    </row>
    <row r="331">
      <c r="A331" t="n">
        <v>315</v>
      </c>
      <c r="B331" s="20">
        <f>D330</f>
        <v/>
      </c>
      <c r="C331" s="20">
        <f>IF(AND(B331&gt;0,A331&lt;=$B$6*12),B331*$B$5/12,0)</f>
        <v/>
      </c>
      <c r="D331" s="20">
        <f>IF(B331&gt;0,MAX(0,B331-(PMT($B$5/12,$B$6*12,-$B$4)-C331+$B$7)),0)</f>
        <v/>
      </c>
    </row>
    <row r="332">
      <c r="A332" t="n">
        <v>316</v>
      </c>
      <c r="B332" s="20">
        <f>D331</f>
        <v/>
      </c>
      <c r="C332" s="20">
        <f>IF(AND(B332&gt;0,A332&lt;=$B$6*12),B332*$B$5/12,0)</f>
        <v/>
      </c>
      <c r="D332" s="20">
        <f>IF(B332&gt;0,MAX(0,B332-(PMT($B$5/12,$B$6*12,-$B$4)-C332+$B$7)),0)</f>
        <v/>
      </c>
    </row>
    <row r="333">
      <c r="A333" t="n">
        <v>317</v>
      </c>
      <c r="B333" s="20">
        <f>D332</f>
        <v/>
      </c>
      <c r="C333" s="20">
        <f>IF(AND(B333&gt;0,A333&lt;=$B$6*12),B333*$B$5/12,0)</f>
        <v/>
      </c>
      <c r="D333" s="20">
        <f>IF(B333&gt;0,MAX(0,B333-(PMT($B$5/12,$B$6*12,-$B$4)-C333+$B$7)),0)</f>
        <v/>
      </c>
    </row>
    <row r="334">
      <c r="A334" t="n">
        <v>318</v>
      </c>
      <c r="B334" s="20">
        <f>D333</f>
        <v/>
      </c>
      <c r="C334" s="20">
        <f>IF(AND(B334&gt;0,A334&lt;=$B$6*12),B334*$B$5/12,0)</f>
        <v/>
      </c>
      <c r="D334" s="20">
        <f>IF(B334&gt;0,MAX(0,B334-(PMT($B$5/12,$B$6*12,-$B$4)-C334+$B$7)),0)</f>
        <v/>
      </c>
    </row>
    <row r="335">
      <c r="A335" t="n">
        <v>319</v>
      </c>
      <c r="B335" s="20">
        <f>D334</f>
        <v/>
      </c>
      <c r="C335" s="20">
        <f>IF(AND(B335&gt;0,A335&lt;=$B$6*12),B335*$B$5/12,0)</f>
        <v/>
      </c>
      <c r="D335" s="20">
        <f>IF(B335&gt;0,MAX(0,B335-(PMT($B$5/12,$B$6*12,-$B$4)-C335+$B$7)),0)</f>
        <v/>
      </c>
    </row>
    <row r="336">
      <c r="A336" t="n">
        <v>320</v>
      </c>
      <c r="B336" s="20">
        <f>D335</f>
        <v/>
      </c>
      <c r="C336" s="20">
        <f>IF(AND(B336&gt;0,A336&lt;=$B$6*12),B336*$B$5/12,0)</f>
        <v/>
      </c>
      <c r="D336" s="20">
        <f>IF(B336&gt;0,MAX(0,B336-(PMT($B$5/12,$B$6*12,-$B$4)-C336+$B$7)),0)</f>
        <v/>
      </c>
    </row>
    <row r="337">
      <c r="A337" t="n">
        <v>321</v>
      </c>
      <c r="B337" s="20">
        <f>D336</f>
        <v/>
      </c>
      <c r="C337" s="20">
        <f>IF(AND(B337&gt;0,A337&lt;=$B$6*12),B337*$B$5/12,0)</f>
        <v/>
      </c>
      <c r="D337" s="20">
        <f>IF(B337&gt;0,MAX(0,B337-(PMT($B$5/12,$B$6*12,-$B$4)-C337+$B$7)),0)</f>
        <v/>
      </c>
    </row>
    <row r="338">
      <c r="A338" t="n">
        <v>322</v>
      </c>
      <c r="B338" s="20">
        <f>D337</f>
        <v/>
      </c>
      <c r="C338" s="20">
        <f>IF(AND(B338&gt;0,A338&lt;=$B$6*12),B338*$B$5/12,0)</f>
        <v/>
      </c>
      <c r="D338" s="20">
        <f>IF(B338&gt;0,MAX(0,B338-(PMT($B$5/12,$B$6*12,-$B$4)-C338+$B$7)),0)</f>
        <v/>
      </c>
    </row>
    <row r="339">
      <c r="A339" t="n">
        <v>323</v>
      </c>
      <c r="B339" s="20">
        <f>D338</f>
        <v/>
      </c>
      <c r="C339" s="20">
        <f>IF(AND(B339&gt;0,A339&lt;=$B$6*12),B339*$B$5/12,0)</f>
        <v/>
      </c>
      <c r="D339" s="20">
        <f>IF(B339&gt;0,MAX(0,B339-(PMT($B$5/12,$B$6*12,-$B$4)-C339+$B$7)),0)</f>
        <v/>
      </c>
    </row>
    <row r="340">
      <c r="A340" t="n">
        <v>324</v>
      </c>
      <c r="B340" s="20">
        <f>D339</f>
        <v/>
      </c>
      <c r="C340" s="20">
        <f>IF(AND(B340&gt;0,A340&lt;=$B$6*12),B340*$B$5/12,0)</f>
        <v/>
      </c>
      <c r="D340" s="20">
        <f>IF(B340&gt;0,MAX(0,B340-(PMT($B$5/12,$B$6*12,-$B$4)-C340+$B$7)),0)</f>
        <v/>
      </c>
    </row>
    <row r="341">
      <c r="A341" t="n">
        <v>325</v>
      </c>
      <c r="B341" s="20">
        <f>D340</f>
        <v/>
      </c>
      <c r="C341" s="20">
        <f>IF(AND(B341&gt;0,A341&lt;=$B$6*12),B341*$B$5/12,0)</f>
        <v/>
      </c>
      <c r="D341" s="20">
        <f>IF(B341&gt;0,MAX(0,B341-(PMT($B$5/12,$B$6*12,-$B$4)-C341+$B$7)),0)</f>
        <v/>
      </c>
    </row>
    <row r="342">
      <c r="A342" t="n">
        <v>326</v>
      </c>
      <c r="B342" s="20">
        <f>D341</f>
        <v/>
      </c>
      <c r="C342" s="20">
        <f>IF(AND(B342&gt;0,A342&lt;=$B$6*12),B342*$B$5/12,0)</f>
        <v/>
      </c>
      <c r="D342" s="20">
        <f>IF(B342&gt;0,MAX(0,B342-(PMT($B$5/12,$B$6*12,-$B$4)-C342+$B$7)),0)</f>
        <v/>
      </c>
    </row>
    <row r="343">
      <c r="A343" t="n">
        <v>327</v>
      </c>
      <c r="B343" s="20">
        <f>D342</f>
        <v/>
      </c>
      <c r="C343" s="20">
        <f>IF(AND(B343&gt;0,A343&lt;=$B$6*12),B343*$B$5/12,0)</f>
        <v/>
      </c>
      <c r="D343" s="20">
        <f>IF(B343&gt;0,MAX(0,B343-(PMT($B$5/12,$B$6*12,-$B$4)-C343+$B$7)),0)</f>
        <v/>
      </c>
    </row>
    <row r="344">
      <c r="A344" t="n">
        <v>328</v>
      </c>
      <c r="B344" s="20">
        <f>D343</f>
        <v/>
      </c>
      <c r="C344" s="20">
        <f>IF(AND(B344&gt;0,A344&lt;=$B$6*12),B344*$B$5/12,0)</f>
        <v/>
      </c>
      <c r="D344" s="20">
        <f>IF(B344&gt;0,MAX(0,B344-(PMT($B$5/12,$B$6*12,-$B$4)-C344+$B$7)),0)</f>
        <v/>
      </c>
    </row>
    <row r="345">
      <c r="A345" t="n">
        <v>329</v>
      </c>
      <c r="B345" s="20">
        <f>D344</f>
        <v/>
      </c>
      <c r="C345" s="20">
        <f>IF(AND(B345&gt;0,A345&lt;=$B$6*12),B345*$B$5/12,0)</f>
        <v/>
      </c>
      <c r="D345" s="20">
        <f>IF(B345&gt;0,MAX(0,B345-(PMT($B$5/12,$B$6*12,-$B$4)-C345+$B$7)),0)</f>
        <v/>
      </c>
    </row>
    <row r="346">
      <c r="A346" t="n">
        <v>330</v>
      </c>
      <c r="B346" s="20">
        <f>D345</f>
        <v/>
      </c>
      <c r="C346" s="20">
        <f>IF(AND(B346&gt;0,A346&lt;=$B$6*12),B346*$B$5/12,0)</f>
        <v/>
      </c>
      <c r="D346" s="20">
        <f>IF(B346&gt;0,MAX(0,B346-(PMT($B$5/12,$B$6*12,-$B$4)-C346+$B$7)),0)</f>
        <v/>
      </c>
    </row>
    <row r="347">
      <c r="A347" t="n">
        <v>331</v>
      </c>
      <c r="B347" s="20">
        <f>D346</f>
        <v/>
      </c>
      <c r="C347" s="20">
        <f>IF(AND(B347&gt;0,A347&lt;=$B$6*12),B347*$B$5/12,0)</f>
        <v/>
      </c>
      <c r="D347" s="20">
        <f>IF(B347&gt;0,MAX(0,B347-(PMT($B$5/12,$B$6*12,-$B$4)-C347+$B$7)),0)</f>
        <v/>
      </c>
    </row>
    <row r="348">
      <c r="A348" t="n">
        <v>332</v>
      </c>
      <c r="B348" s="20">
        <f>D347</f>
        <v/>
      </c>
      <c r="C348" s="20">
        <f>IF(AND(B348&gt;0,A348&lt;=$B$6*12),B348*$B$5/12,0)</f>
        <v/>
      </c>
      <c r="D348" s="20">
        <f>IF(B348&gt;0,MAX(0,B348-(PMT($B$5/12,$B$6*12,-$B$4)-C348+$B$7)),0)</f>
        <v/>
      </c>
    </row>
    <row r="349">
      <c r="A349" t="n">
        <v>333</v>
      </c>
      <c r="B349" s="20">
        <f>D348</f>
        <v/>
      </c>
      <c r="C349" s="20">
        <f>IF(AND(B349&gt;0,A349&lt;=$B$6*12),B349*$B$5/12,0)</f>
        <v/>
      </c>
      <c r="D349" s="20">
        <f>IF(B349&gt;0,MAX(0,B349-(PMT($B$5/12,$B$6*12,-$B$4)-C349+$B$7)),0)</f>
        <v/>
      </c>
    </row>
    <row r="350">
      <c r="A350" t="n">
        <v>334</v>
      </c>
      <c r="B350" s="20">
        <f>D349</f>
        <v/>
      </c>
      <c r="C350" s="20">
        <f>IF(AND(B350&gt;0,A350&lt;=$B$6*12),B350*$B$5/12,0)</f>
        <v/>
      </c>
      <c r="D350" s="20">
        <f>IF(B350&gt;0,MAX(0,B350-(PMT($B$5/12,$B$6*12,-$B$4)-C350+$B$7)),0)</f>
        <v/>
      </c>
    </row>
    <row r="351">
      <c r="A351" t="n">
        <v>335</v>
      </c>
      <c r="B351" s="20">
        <f>D350</f>
        <v/>
      </c>
      <c r="C351" s="20">
        <f>IF(AND(B351&gt;0,A351&lt;=$B$6*12),B351*$B$5/12,0)</f>
        <v/>
      </c>
      <c r="D351" s="20">
        <f>IF(B351&gt;0,MAX(0,B351-(PMT($B$5/12,$B$6*12,-$B$4)-C351+$B$7)),0)</f>
        <v/>
      </c>
    </row>
    <row r="352">
      <c r="A352" t="n">
        <v>336</v>
      </c>
      <c r="B352" s="20">
        <f>D351</f>
        <v/>
      </c>
      <c r="C352" s="20">
        <f>IF(AND(B352&gt;0,A352&lt;=$B$6*12),B352*$B$5/12,0)</f>
        <v/>
      </c>
      <c r="D352" s="20">
        <f>IF(B352&gt;0,MAX(0,B352-(PMT($B$5/12,$B$6*12,-$B$4)-C352+$B$7)),0)</f>
        <v/>
      </c>
    </row>
    <row r="353">
      <c r="A353" t="n">
        <v>337</v>
      </c>
      <c r="B353" s="20">
        <f>D352</f>
        <v/>
      </c>
      <c r="C353" s="20">
        <f>IF(AND(B353&gt;0,A353&lt;=$B$6*12),B353*$B$5/12,0)</f>
        <v/>
      </c>
      <c r="D353" s="20">
        <f>IF(B353&gt;0,MAX(0,B353-(PMT($B$5/12,$B$6*12,-$B$4)-C353+$B$7)),0)</f>
        <v/>
      </c>
    </row>
    <row r="354">
      <c r="A354" t="n">
        <v>338</v>
      </c>
      <c r="B354" s="20">
        <f>D353</f>
        <v/>
      </c>
      <c r="C354" s="20">
        <f>IF(AND(B354&gt;0,A354&lt;=$B$6*12),B354*$B$5/12,0)</f>
        <v/>
      </c>
      <c r="D354" s="20">
        <f>IF(B354&gt;0,MAX(0,B354-(PMT($B$5/12,$B$6*12,-$B$4)-C354+$B$7)),0)</f>
        <v/>
      </c>
    </row>
    <row r="355">
      <c r="A355" t="n">
        <v>339</v>
      </c>
      <c r="B355" s="20">
        <f>D354</f>
        <v/>
      </c>
      <c r="C355" s="20">
        <f>IF(AND(B355&gt;0,A355&lt;=$B$6*12),B355*$B$5/12,0)</f>
        <v/>
      </c>
      <c r="D355" s="20">
        <f>IF(B355&gt;0,MAX(0,B355-(PMT($B$5/12,$B$6*12,-$B$4)-C355+$B$7)),0)</f>
        <v/>
      </c>
    </row>
    <row r="356">
      <c r="A356" t="n">
        <v>340</v>
      </c>
      <c r="B356" s="20">
        <f>D355</f>
        <v/>
      </c>
      <c r="C356" s="20">
        <f>IF(AND(B356&gt;0,A356&lt;=$B$6*12),B356*$B$5/12,0)</f>
        <v/>
      </c>
      <c r="D356" s="20">
        <f>IF(B356&gt;0,MAX(0,B356-(PMT($B$5/12,$B$6*12,-$B$4)-C356+$B$7)),0)</f>
        <v/>
      </c>
    </row>
    <row r="357">
      <c r="A357" t="n">
        <v>341</v>
      </c>
      <c r="B357" s="20">
        <f>D356</f>
        <v/>
      </c>
      <c r="C357" s="20">
        <f>IF(AND(B357&gt;0,A357&lt;=$B$6*12),B357*$B$5/12,0)</f>
        <v/>
      </c>
      <c r="D357" s="20">
        <f>IF(B357&gt;0,MAX(0,B357-(PMT($B$5/12,$B$6*12,-$B$4)-C357+$B$7)),0)</f>
        <v/>
      </c>
    </row>
    <row r="358">
      <c r="A358" t="n">
        <v>342</v>
      </c>
      <c r="B358" s="20">
        <f>D357</f>
        <v/>
      </c>
      <c r="C358" s="20">
        <f>IF(AND(B358&gt;0,A358&lt;=$B$6*12),B358*$B$5/12,0)</f>
        <v/>
      </c>
      <c r="D358" s="20">
        <f>IF(B358&gt;0,MAX(0,B358-(PMT($B$5/12,$B$6*12,-$B$4)-C358+$B$7)),0)</f>
        <v/>
      </c>
    </row>
    <row r="359">
      <c r="A359" t="n">
        <v>343</v>
      </c>
      <c r="B359" s="20">
        <f>D358</f>
        <v/>
      </c>
      <c r="C359" s="20">
        <f>IF(AND(B359&gt;0,A359&lt;=$B$6*12),B359*$B$5/12,0)</f>
        <v/>
      </c>
      <c r="D359" s="20">
        <f>IF(B359&gt;0,MAX(0,B359-(PMT($B$5/12,$B$6*12,-$B$4)-C359+$B$7)),0)</f>
        <v/>
      </c>
    </row>
    <row r="360">
      <c r="A360" t="n">
        <v>344</v>
      </c>
      <c r="B360" s="20">
        <f>D359</f>
        <v/>
      </c>
      <c r="C360" s="20">
        <f>IF(AND(B360&gt;0,A360&lt;=$B$6*12),B360*$B$5/12,0)</f>
        <v/>
      </c>
      <c r="D360" s="20">
        <f>IF(B360&gt;0,MAX(0,B360-(PMT($B$5/12,$B$6*12,-$B$4)-C360+$B$7)),0)</f>
        <v/>
      </c>
    </row>
    <row r="361">
      <c r="A361" t="n">
        <v>345</v>
      </c>
      <c r="B361" s="20">
        <f>D360</f>
        <v/>
      </c>
      <c r="C361" s="20">
        <f>IF(AND(B361&gt;0,A361&lt;=$B$6*12),B361*$B$5/12,0)</f>
        <v/>
      </c>
      <c r="D361" s="20">
        <f>IF(B361&gt;0,MAX(0,B361-(PMT($B$5/12,$B$6*12,-$B$4)-C361+$B$7)),0)</f>
        <v/>
      </c>
    </row>
    <row r="362">
      <c r="A362" t="n">
        <v>346</v>
      </c>
      <c r="B362" s="20">
        <f>D361</f>
        <v/>
      </c>
      <c r="C362" s="20">
        <f>IF(AND(B362&gt;0,A362&lt;=$B$6*12),B362*$B$5/12,0)</f>
        <v/>
      </c>
      <c r="D362" s="20">
        <f>IF(B362&gt;0,MAX(0,B362-(PMT($B$5/12,$B$6*12,-$B$4)-C362+$B$7)),0)</f>
        <v/>
      </c>
    </row>
    <row r="363">
      <c r="A363" t="n">
        <v>347</v>
      </c>
      <c r="B363" s="20">
        <f>D362</f>
        <v/>
      </c>
      <c r="C363" s="20">
        <f>IF(AND(B363&gt;0,A363&lt;=$B$6*12),B363*$B$5/12,0)</f>
        <v/>
      </c>
      <c r="D363" s="20">
        <f>IF(B363&gt;0,MAX(0,B363-(PMT($B$5/12,$B$6*12,-$B$4)-C363+$B$7)),0)</f>
        <v/>
      </c>
    </row>
    <row r="364">
      <c r="A364" t="n">
        <v>348</v>
      </c>
      <c r="B364" s="20">
        <f>D363</f>
        <v/>
      </c>
      <c r="C364" s="20">
        <f>IF(AND(B364&gt;0,A364&lt;=$B$6*12),B364*$B$5/12,0)</f>
        <v/>
      </c>
      <c r="D364" s="20">
        <f>IF(B364&gt;0,MAX(0,B364-(PMT($B$5/12,$B$6*12,-$B$4)-C364+$B$7)),0)</f>
        <v/>
      </c>
    </row>
    <row r="365">
      <c r="A365" t="n">
        <v>349</v>
      </c>
      <c r="B365" s="20">
        <f>D364</f>
        <v/>
      </c>
      <c r="C365" s="20">
        <f>IF(AND(B365&gt;0,A365&lt;=$B$6*12),B365*$B$5/12,0)</f>
        <v/>
      </c>
      <c r="D365" s="20">
        <f>IF(B365&gt;0,MAX(0,B365-(PMT($B$5/12,$B$6*12,-$B$4)-C365+$B$7)),0)</f>
        <v/>
      </c>
    </row>
    <row r="366">
      <c r="A366" t="n">
        <v>350</v>
      </c>
      <c r="B366" s="20">
        <f>D365</f>
        <v/>
      </c>
      <c r="C366" s="20">
        <f>IF(AND(B366&gt;0,A366&lt;=$B$6*12),B366*$B$5/12,0)</f>
        <v/>
      </c>
      <c r="D366" s="20">
        <f>IF(B366&gt;0,MAX(0,B366-(PMT($B$5/12,$B$6*12,-$B$4)-C366+$B$7)),0)</f>
        <v/>
      </c>
    </row>
    <row r="367">
      <c r="A367" t="n">
        <v>351</v>
      </c>
      <c r="B367" s="20">
        <f>D366</f>
        <v/>
      </c>
      <c r="C367" s="20">
        <f>IF(AND(B367&gt;0,A367&lt;=$B$6*12),B367*$B$5/12,0)</f>
        <v/>
      </c>
      <c r="D367" s="20">
        <f>IF(B367&gt;0,MAX(0,B367-(PMT($B$5/12,$B$6*12,-$B$4)-C367+$B$7)),0)</f>
        <v/>
      </c>
    </row>
    <row r="368">
      <c r="A368" t="n">
        <v>352</v>
      </c>
      <c r="B368" s="20">
        <f>D367</f>
        <v/>
      </c>
      <c r="C368" s="20">
        <f>IF(AND(B368&gt;0,A368&lt;=$B$6*12),B368*$B$5/12,0)</f>
        <v/>
      </c>
      <c r="D368" s="20">
        <f>IF(B368&gt;0,MAX(0,B368-(PMT($B$5/12,$B$6*12,-$B$4)-C368+$B$7)),0)</f>
        <v/>
      </c>
    </row>
    <row r="369">
      <c r="A369" t="n">
        <v>353</v>
      </c>
      <c r="B369" s="20">
        <f>D368</f>
        <v/>
      </c>
      <c r="C369" s="20">
        <f>IF(AND(B369&gt;0,A369&lt;=$B$6*12),B369*$B$5/12,0)</f>
        <v/>
      </c>
      <c r="D369" s="20">
        <f>IF(B369&gt;0,MAX(0,B369-(PMT($B$5/12,$B$6*12,-$B$4)-C369+$B$7)),0)</f>
        <v/>
      </c>
    </row>
    <row r="370">
      <c r="A370" t="n">
        <v>354</v>
      </c>
      <c r="B370" s="20">
        <f>D369</f>
        <v/>
      </c>
      <c r="C370" s="20">
        <f>IF(AND(B370&gt;0,A370&lt;=$B$6*12),B370*$B$5/12,0)</f>
        <v/>
      </c>
      <c r="D370" s="20">
        <f>IF(B370&gt;0,MAX(0,B370-(PMT($B$5/12,$B$6*12,-$B$4)-C370+$B$7)),0)</f>
        <v/>
      </c>
    </row>
    <row r="371">
      <c r="A371" t="n">
        <v>355</v>
      </c>
      <c r="B371" s="20">
        <f>D370</f>
        <v/>
      </c>
      <c r="C371" s="20">
        <f>IF(AND(B371&gt;0,A371&lt;=$B$6*12),B371*$B$5/12,0)</f>
        <v/>
      </c>
      <c r="D371" s="20">
        <f>IF(B371&gt;0,MAX(0,B371-(PMT($B$5/12,$B$6*12,-$B$4)-C371+$B$7)),0)</f>
        <v/>
      </c>
    </row>
    <row r="372">
      <c r="A372" t="n">
        <v>356</v>
      </c>
      <c r="B372" s="20">
        <f>D371</f>
        <v/>
      </c>
      <c r="C372" s="20">
        <f>IF(AND(B372&gt;0,A372&lt;=$B$6*12),B372*$B$5/12,0)</f>
        <v/>
      </c>
      <c r="D372" s="20">
        <f>IF(B372&gt;0,MAX(0,B372-(PMT($B$5/12,$B$6*12,-$B$4)-C372+$B$7)),0)</f>
        <v/>
      </c>
    </row>
    <row r="373">
      <c r="A373" t="n">
        <v>357</v>
      </c>
      <c r="B373" s="20">
        <f>D372</f>
        <v/>
      </c>
      <c r="C373" s="20">
        <f>IF(AND(B373&gt;0,A373&lt;=$B$6*12),B373*$B$5/12,0)</f>
        <v/>
      </c>
      <c r="D373" s="20">
        <f>IF(B373&gt;0,MAX(0,B373-(PMT($B$5/12,$B$6*12,-$B$4)-C373+$B$7)),0)</f>
        <v/>
      </c>
    </row>
    <row r="374">
      <c r="A374" t="n">
        <v>358</v>
      </c>
      <c r="B374" s="20">
        <f>D373</f>
        <v/>
      </c>
      <c r="C374" s="20">
        <f>IF(AND(B374&gt;0,A374&lt;=$B$6*12),B374*$B$5/12,0)</f>
        <v/>
      </c>
      <c r="D374" s="20">
        <f>IF(B374&gt;0,MAX(0,B374-(PMT($B$5/12,$B$6*12,-$B$4)-C374+$B$7)),0)</f>
        <v/>
      </c>
    </row>
    <row r="375">
      <c r="A375" t="n">
        <v>359</v>
      </c>
      <c r="B375" s="20">
        <f>D374</f>
        <v/>
      </c>
      <c r="C375" s="20">
        <f>IF(AND(B375&gt;0,A375&lt;=$B$6*12),B375*$B$5/12,0)</f>
        <v/>
      </c>
      <c r="D375" s="20">
        <f>IF(B375&gt;0,MAX(0,B375-(PMT($B$5/12,$B$6*12,-$B$4)-C375+$B$7)),0)</f>
        <v/>
      </c>
    </row>
    <row r="376">
      <c r="A376" t="n">
        <v>360</v>
      </c>
      <c r="B376" s="20">
        <f>D375</f>
        <v/>
      </c>
      <c r="C376" s="20">
        <f>IF(AND(B376&gt;0,A376&lt;=$B$6*12),B376*$B$5/12,0)</f>
        <v/>
      </c>
      <c r="D376" s="20">
        <f>IF(B376&gt;0,MAX(0,B376-(PMT($B$5/12,$B$6*12,-$B$4)-C376+$B$7)),0)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2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Self-check: this sheet against official examples</t>
        </is>
      </c>
      <c r="B1" s="2" t="n"/>
      <c r="C1" s="2" t="n"/>
      <c r="D1" s="2" t="n"/>
      <c r="E1" s="2" t="n"/>
      <c r="F1" s="2" t="n"/>
    </row>
    <row r="2">
      <c r="A2" s="3" t="inlineStr">
        <is>
          <t>Every row runs the same formulas as the Tax tab · all rows must say PASS</t>
        </is>
      </c>
      <c r="B2" s="2" t="n"/>
      <c r="C2" s="2" t="n"/>
      <c r="D2" s="2" t="n"/>
      <c r="E2" s="2" t="n"/>
      <c r="F2" s="2" t="n"/>
    </row>
    <row r="4">
      <c r="A4" s="19" t="inlineStr">
        <is>
          <t>Gross (₹)</t>
        </is>
      </c>
      <c r="B4" s="19" t="inlineStr">
        <is>
          <t>Deductions (₹)</t>
        </is>
      </c>
      <c r="C4" s="19" t="inlineStr">
        <is>
          <t>Age</t>
        </is>
      </c>
      <c r="D4" s="19" t="inlineStr">
        <is>
          <t>New: sheet</t>
        </is>
      </c>
      <c r="E4" s="19" t="inlineStr">
        <is>
          <t>New: expected</t>
        </is>
      </c>
      <c r="F4" s="19" t="inlineStr">
        <is>
          <t>Old: sheet</t>
        </is>
      </c>
      <c r="G4" s="19" t="inlineStr">
        <is>
          <t>Old: expected</t>
        </is>
      </c>
      <c r="H4" s="19" t="inlineStr">
        <is>
          <t>Result</t>
        </is>
      </c>
    </row>
    <row r="5">
      <c r="A5" s="20" t="n">
        <v>1275000</v>
      </c>
      <c r="B5" s="20" t="n">
        <v>150000</v>
      </c>
      <c r="C5" t="inlineStr">
        <is>
          <t>Below 60</t>
        </is>
      </c>
      <c r="D5" s="20">
        <f>B1006</f>
        <v/>
      </c>
      <c r="E5" s="20" t="n">
        <v>0</v>
      </c>
      <c r="F5" s="20">
        <f>C1006</f>
        <v/>
      </c>
      <c r="G5" s="20" t="n">
        <v>140400</v>
      </c>
      <c r="H5">
        <f>IF(AND(D5=E5,F5=G5),"PASS","FAIL")</f>
        <v/>
      </c>
    </row>
    <row r="6">
      <c r="A6" s="20" t="n">
        <v>1300000</v>
      </c>
      <c r="B6" s="20" t="n">
        <v>150000</v>
      </c>
      <c r="C6" t="inlineStr">
        <is>
          <t>Below 60</t>
        </is>
      </c>
      <c r="D6" s="20">
        <f>B1016</f>
        <v/>
      </c>
      <c r="E6" s="20" t="n">
        <v>26000</v>
      </c>
      <c r="F6" s="20">
        <f>C1016</f>
        <v/>
      </c>
      <c r="G6" s="20" t="n">
        <v>148200</v>
      </c>
      <c r="H6">
        <f>IF(AND(D6=E6,F6=G6),"PASS","FAIL")</f>
        <v/>
      </c>
    </row>
    <row r="7">
      <c r="A7" s="20" t="n">
        <v>2500000</v>
      </c>
      <c r="B7" s="20" t="n">
        <v>150000</v>
      </c>
      <c r="C7" t="inlineStr">
        <is>
          <t>Below 60</t>
        </is>
      </c>
      <c r="D7" s="20">
        <f>B1026</f>
        <v/>
      </c>
      <c r="E7" s="20" t="n">
        <v>319800</v>
      </c>
      <c r="F7" s="20">
        <f>C1026</f>
        <v/>
      </c>
      <c r="G7" s="20" t="n">
        <v>522600</v>
      </c>
      <c r="H7">
        <f>IF(AND(D7=E7,F7=G7),"PASS","FAIL")</f>
        <v/>
      </c>
    </row>
    <row r="9">
      <c r="A9" s="14" t="inlineStr">
        <is>
          <t>Expected values: tax year 2026-27, salaried below 60, old regime with ₹1,50,000 deductions (india-tax-guru fixtures, MIT).</t>
        </is>
      </c>
    </row>
    <row r="999" hidden="1" outlineLevel="1"/>
    <row r="1000" hidden="1" outlineLevel="1">
      <c r="A1000" s="5" t="inlineStr">
        <is>
          <t>Standard deduction (₹)</t>
        </is>
      </c>
      <c r="B1000" s="9">
        <f>Rules!$B$4</f>
        <v/>
      </c>
      <c r="C1000" s="9">
        <f>Rules!$C$4</f>
        <v/>
      </c>
    </row>
    <row r="1001" hidden="1" outlineLevel="1">
      <c r="A1001" s="5" t="inlineStr">
        <is>
          <t>Taxable income (₹, rounded to ₹10)</t>
        </is>
      </c>
      <c r="B1001" s="9">
        <f>MAX(0,ROUND(($A$5-Rules!$B$4)/10,0)*10)</f>
        <v/>
      </c>
      <c r="C1001" s="9">
        <f>MAX(0,ROUND(($A$5-Rules!$C$4-$B$5)/10,0)*10)</f>
        <v/>
      </c>
    </row>
    <row r="1002" hidden="1" outlineLevel="1">
      <c r="A1002" s="5" t="inlineStr">
        <is>
          <t>Tax on slabs (₹)</t>
        </is>
      </c>
      <c r="B1002" s="9">
        <f>SUMPRODUCT((B1001&gt;Rules!$A$9:$A$15)*(B1001-Rules!$A$9:$A$15)*Rules!$C$9:$C$15)</f>
        <v/>
      </c>
      <c r="C1002" s="9">
        <f>CHOOSE(MATCH($C$5,Rules!$A$27:$A$29,0),SUMPRODUCT((C1001&gt;Rules!$A$19:$A$22)*(C1001-Rules!$A$19:$A$22)*Rules!$B$19:$B$22),SUMPRODUCT((C1001&gt;Rules!$C$19:$C$22)*(C1001-Rules!$C$19:$C$22)*Rules!$D$19:$D$22),SUMPRODUCT((C1001&gt;Rules!$E$19:$E$22)*(C1001-Rules!$E$19:$E$22)*Rules!$F$19:$F$22))</f>
        <v/>
      </c>
    </row>
    <row r="1003" hidden="1" outlineLevel="1">
      <c r="A1003" s="5" t="inlineStr">
        <is>
          <t>Rebate u/s 156, ex-87A, with marginal relief (₹)</t>
        </is>
      </c>
      <c r="B1003" s="9">
        <f>IF(B1001&lt;=Rules!$B$5,MIN(B1002,Rules!$B$6),MAX(0,B1002-(B1001-Rules!$B$5)))</f>
        <v/>
      </c>
      <c r="C1003" s="9">
        <f>IF(C1001&lt;=Rules!$C$5,MIN(C1002,Rules!$C$6),0)</f>
        <v/>
      </c>
    </row>
    <row r="1004" hidden="1" outlineLevel="1">
      <c r="A1004" s="5" t="inlineStr">
        <is>
          <t>Tax after rebate (₹)</t>
        </is>
      </c>
      <c r="B1004" s="9">
        <f>B1002-B1003</f>
        <v/>
      </c>
      <c r="C1004" s="9">
        <f>C1002-C1003</f>
        <v/>
      </c>
    </row>
    <row r="1005" hidden="1" outlineLevel="1">
      <c r="A1005" s="5" t="inlineStr">
        <is>
          <t>Health and education cess, 4% (₹)</t>
        </is>
      </c>
      <c r="B1005" s="9">
        <f>B1004*Rules!$B$7</f>
        <v/>
      </c>
      <c r="C1005" s="9">
        <f>C1004*Rules!$B$7</f>
        <v/>
      </c>
    </row>
    <row r="1006" hidden="1" outlineLevel="1">
      <c r="A1006" s="6" t="inlineStr">
        <is>
          <t>Total tax for the year (₹)</t>
        </is>
      </c>
      <c r="B1006" s="10">
        <f>ROUND((B1004+B1005)/10,0)*10</f>
        <v/>
      </c>
      <c r="C1006" s="10">
        <f>ROUND((C1004+C1005)/10,0)*10</f>
        <v/>
      </c>
    </row>
    <row r="1007" hidden="1" outlineLevel="1">
      <c r="A1007" s="5" t="inlineStr">
        <is>
          <t>Per month (₹)</t>
        </is>
      </c>
      <c r="B1007" s="9">
        <f>ROUND(B1006/12,0)</f>
        <v/>
      </c>
      <c r="C1007" s="9">
        <f>ROUND(C1006/12,0)</f>
        <v/>
      </c>
    </row>
    <row r="1008" hidden="1" outlineLevel="1"/>
    <row r="1009" hidden="1" outlineLevel="1"/>
    <row r="1010" hidden="1" outlineLevel="1">
      <c r="A1010" s="5" t="inlineStr">
        <is>
          <t>Standard deduction (₹)</t>
        </is>
      </c>
      <c r="B1010" s="9">
        <f>Rules!$B$4</f>
        <v/>
      </c>
      <c r="C1010" s="9">
        <f>Rules!$C$4</f>
        <v/>
      </c>
    </row>
    <row r="1011" hidden="1" outlineLevel="1">
      <c r="A1011" s="5" t="inlineStr">
        <is>
          <t>Taxable income (₹, rounded to ₹10)</t>
        </is>
      </c>
      <c r="B1011" s="9">
        <f>MAX(0,ROUND(($A$6-Rules!$B$4)/10,0)*10)</f>
        <v/>
      </c>
      <c r="C1011" s="9">
        <f>MAX(0,ROUND(($A$6-Rules!$C$4-$B$6)/10,0)*10)</f>
        <v/>
      </c>
    </row>
    <row r="1012" hidden="1" outlineLevel="1">
      <c r="A1012" s="5" t="inlineStr">
        <is>
          <t>Tax on slabs (₹)</t>
        </is>
      </c>
      <c r="B1012" s="9">
        <f>SUMPRODUCT((B1011&gt;Rules!$A$9:$A$15)*(B1011-Rules!$A$9:$A$15)*Rules!$C$9:$C$15)</f>
        <v/>
      </c>
      <c r="C1012" s="9">
        <f>CHOOSE(MATCH($C$6,Rules!$A$27:$A$29,0),SUMPRODUCT((C1011&gt;Rules!$A$19:$A$22)*(C1011-Rules!$A$19:$A$22)*Rules!$B$19:$B$22),SUMPRODUCT((C1011&gt;Rules!$C$19:$C$22)*(C1011-Rules!$C$19:$C$22)*Rules!$D$19:$D$22),SUMPRODUCT((C1011&gt;Rules!$E$19:$E$22)*(C1011-Rules!$E$19:$E$22)*Rules!$F$19:$F$22))</f>
        <v/>
      </c>
    </row>
    <row r="1013" hidden="1" outlineLevel="1">
      <c r="A1013" s="5" t="inlineStr">
        <is>
          <t>Rebate u/s 156, ex-87A, with marginal relief (₹)</t>
        </is>
      </c>
      <c r="B1013" s="9">
        <f>IF(B1011&lt;=Rules!$B$5,MIN(B1012,Rules!$B$6),MAX(0,B1012-(B1011-Rules!$B$5)))</f>
        <v/>
      </c>
      <c r="C1013" s="9">
        <f>IF(C1011&lt;=Rules!$C$5,MIN(C1012,Rules!$C$6),0)</f>
        <v/>
      </c>
    </row>
    <row r="1014" hidden="1" outlineLevel="1">
      <c r="A1014" s="5" t="inlineStr">
        <is>
          <t>Tax after rebate (₹)</t>
        </is>
      </c>
      <c r="B1014" s="9">
        <f>B1012-B1013</f>
        <v/>
      </c>
      <c r="C1014" s="9">
        <f>C1012-C1013</f>
        <v/>
      </c>
    </row>
    <row r="1015" hidden="1" outlineLevel="1">
      <c r="A1015" s="5" t="inlineStr">
        <is>
          <t>Health and education cess, 4% (₹)</t>
        </is>
      </c>
      <c r="B1015" s="9">
        <f>B1014*Rules!$B$7</f>
        <v/>
      </c>
      <c r="C1015" s="9">
        <f>C1014*Rules!$B$7</f>
        <v/>
      </c>
    </row>
    <row r="1016" hidden="1" outlineLevel="1">
      <c r="A1016" s="6" t="inlineStr">
        <is>
          <t>Total tax for the year (₹)</t>
        </is>
      </c>
      <c r="B1016" s="10">
        <f>ROUND((B1014+B1015)/10,0)*10</f>
        <v/>
      </c>
      <c r="C1016" s="10">
        <f>ROUND((C1014+C1015)/10,0)*10</f>
        <v/>
      </c>
    </row>
    <row r="1017" hidden="1" outlineLevel="1">
      <c r="A1017" s="5" t="inlineStr">
        <is>
          <t>Per month (₹)</t>
        </is>
      </c>
      <c r="B1017" s="9">
        <f>ROUND(B1016/12,0)</f>
        <v/>
      </c>
      <c r="C1017" s="9">
        <f>ROUND(C1016/12,0)</f>
        <v/>
      </c>
    </row>
    <row r="1018" hidden="1" outlineLevel="1"/>
    <row r="1019" hidden="1" outlineLevel="1"/>
    <row r="1020" hidden="1" outlineLevel="1">
      <c r="A1020" s="5" t="inlineStr">
        <is>
          <t>Standard deduction (₹)</t>
        </is>
      </c>
      <c r="B1020" s="9">
        <f>Rules!$B$4</f>
        <v/>
      </c>
      <c r="C1020" s="9">
        <f>Rules!$C$4</f>
        <v/>
      </c>
    </row>
    <row r="1021" hidden="1" outlineLevel="1">
      <c r="A1021" s="5" t="inlineStr">
        <is>
          <t>Taxable income (₹, rounded to ₹10)</t>
        </is>
      </c>
      <c r="B1021" s="9">
        <f>MAX(0,ROUND(($A$7-Rules!$B$4)/10,0)*10)</f>
        <v/>
      </c>
      <c r="C1021" s="9">
        <f>MAX(0,ROUND(($A$7-Rules!$C$4-$B$7)/10,0)*10)</f>
        <v/>
      </c>
    </row>
    <row r="1022" hidden="1" outlineLevel="1">
      <c r="A1022" s="5" t="inlineStr">
        <is>
          <t>Tax on slabs (₹)</t>
        </is>
      </c>
      <c r="B1022" s="9">
        <f>SUMPRODUCT((B1021&gt;Rules!$A$9:$A$15)*(B1021-Rules!$A$9:$A$15)*Rules!$C$9:$C$15)</f>
        <v/>
      </c>
      <c r="C1022" s="9">
        <f>CHOOSE(MATCH($C$7,Rules!$A$27:$A$29,0),SUMPRODUCT((C1021&gt;Rules!$A$19:$A$22)*(C1021-Rules!$A$19:$A$22)*Rules!$B$19:$B$22),SUMPRODUCT((C1021&gt;Rules!$C$19:$C$22)*(C1021-Rules!$C$19:$C$22)*Rules!$D$19:$D$22),SUMPRODUCT((C1021&gt;Rules!$E$19:$E$22)*(C1021-Rules!$E$19:$E$22)*Rules!$F$19:$F$22))</f>
        <v/>
      </c>
    </row>
    <row r="1023" hidden="1" outlineLevel="1">
      <c r="A1023" s="5" t="inlineStr">
        <is>
          <t>Rebate u/s 156, ex-87A, with marginal relief (₹)</t>
        </is>
      </c>
      <c r="B1023" s="9">
        <f>IF(B1021&lt;=Rules!$B$5,MIN(B1022,Rules!$B$6),MAX(0,B1022-(B1021-Rules!$B$5)))</f>
        <v/>
      </c>
      <c r="C1023" s="9">
        <f>IF(C1021&lt;=Rules!$C$5,MIN(C1022,Rules!$C$6),0)</f>
        <v/>
      </c>
    </row>
    <row r="1024" hidden="1" outlineLevel="1">
      <c r="A1024" s="5" t="inlineStr">
        <is>
          <t>Tax after rebate (₹)</t>
        </is>
      </c>
      <c r="B1024" s="9">
        <f>B1022-B1023</f>
        <v/>
      </c>
      <c r="C1024" s="9">
        <f>C1022-C1023</f>
        <v/>
      </c>
    </row>
    <row r="1025" hidden="1" outlineLevel="1">
      <c r="A1025" s="5" t="inlineStr">
        <is>
          <t>Health and education cess, 4% (₹)</t>
        </is>
      </c>
      <c r="B1025" s="9">
        <f>B1024*Rules!$B$7</f>
        <v/>
      </c>
      <c r="C1025" s="9">
        <f>C1024*Rules!$B$7</f>
        <v/>
      </c>
    </row>
    <row r="1026" hidden="1" outlineLevel="1">
      <c r="A1026" s="6" t="inlineStr">
        <is>
          <t>Total tax for the year (₹)</t>
        </is>
      </c>
      <c r="B1026" s="10">
        <f>ROUND((B1024+B1025)/10,0)*10</f>
        <v/>
      </c>
      <c r="C1026" s="10">
        <f>ROUND((C1024+C1025)/10,0)*10</f>
        <v/>
      </c>
    </row>
    <row r="1027" hidden="1" outlineLevel="1">
      <c r="A1027" s="5" t="inlineStr">
        <is>
          <t>Per month (₹)</t>
        </is>
      </c>
      <c r="B1027" s="9">
        <f>ROUND(B1026/12,0)</f>
        <v/>
      </c>
      <c r="C1027" s="9">
        <f>ROUND(C1026/12,0)</f>
        <v/>
      </c>
    </row>
    <row r="1028" hidden="1" outlineLevel="1"/>
    <row r="1029" hidden="1" outlineLevel="1"/>
    <row r="1030" hidden="1" outlineLevel="1"/>
    <row r="1031" hidden="1" outlineLevel="1"/>
    <row r="1032" hidden="1" outlineLevel="1"/>
    <row r="1033" hidden="1" outlineLevel="1"/>
    <row r="1034" hidden="1" outlineLevel="1"/>
    <row r="1035" hidden="1" outlineLevel="1"/>
    <row r="1036" hidden="1" outlineLevel="1"/>
    <row r="1037" hidden="1" outlineLevel="1"/>
    <row r="1038" hidden="1" outlineLevel="1"/>
    <row r="1039" hidden="1" outlineLevel="1"/>
    <row r="1040" hidden="1" outlineLevel="1"/>
  </sheetData>
  <conditionalFormatting sqref="H5:H7">
    <cfRule type="cellIs" priority="1" operator="equal" dxfId="0">
      <formula>"PASS"</formula>
    </cfRule>
    <cfRule type="cellIs" priority="2" operator="equal" dxfId="1">
      <formula>"FAIL"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Rules used (tax year 2026-27)</t>
        </is>
      </c>
      <c r="B1" s="2" t="n"/>
      <c r="C1" s="2" t="n"/>
      <c r="D1" s="2" t="n"/>
      <c r="E1" s="2" t="n"/>
      <c r="F1" s="2" t="n"/>
    </row>
    <row r="2">
      <c r="A2" s="3" t="inlineStr">
        <is>
          <t>Income-tax Act 2025 · checked 16 Oct 2026 · don't edit unless the law changes</t>
        </is>
      </c>
      <c r="B2" s="2" t="n"/>
      <c r="C2" s="2" t="n"/>
      <c r="D2" s="2" t="n"/>
      <c r="E2" s="2" t="n"/>
      <c r="F2" s="2" t="n"/>
    </row>
    <row r="3">
      <c r="A3" s="6" t="inlineStr"/>
      <c r="B3" s="27" t="inlineStr">
        <is>
          <t>New regime</t>
        </is>
      </c>
      <c r="C3" s="27" t="inlineStr">
        <is>
          <t>Old regime</t>
        </is>
      </c>
    </row>
    <row r="4">
      <c r="A4" s="5" t="inlineStr">
        <is>
          <t>Standard deduction for salaried (₹)</t>
        </is>
      </c>
      <c r="B4" s="20" t="n">
        <v>75000</v>
      </c>
      <c r="C4" s="20" t="n">
        <v>50000</v>
      </c>
    </row>
    <row r="5">
      <c r="A5" s="5" t="inlineStr">
        <is>
          <t>Rebate: taxable income up to (₹)</t>
        </is>
      </c>
      <c r="B5" s="20" t="n">
        <v>1200000</v>
      </c>
      <c r="C5" s="20" t="n">
        <v>500000</v>
      </c>
    </row>
    <row r="6">
      <c r="A6" s="5" t="inlineStr">
        <is>
          <t>Rebate: maximum (₹)</t>
        </is>
      </c>
      <c r="B6" s="20" t="n">
        <v>60000</v>
      </c>
      <c r="C6" s="20" t="n">
        <v>12500</v>
      </c>
    </row>
    <row r="7">
      <c r="A7" s="5" t="inlineStr">
        <is>
          <t>Cess</t>
        </is>
      </c>
      <c r="B7" s="28" t="n">
        <v>0.04</v>
      </c>
      <c r="C7" s="28" t="n">
        <v>0.04</v>
      </c>
    </row>
    <row r="8">
      <c r="A8" s="6" t="inlineStr">
        <is>
          <t>New regime slabs: from (₹) · rate · rate step</t>
        </is>
      </c>
    </row>
    <row r="9">
      <c r="A9" s="20" t="n">
        <v>0</v>
      </c>
      <c r="B9" s="28" t="n">
        <v>0</v>
      </c>
      <c r="C9" s="28" t="n">
        <v>0</v>
      </c>
    </row>
    <row r="10">
      <c r="A10" s="20" t="n">
        <v>400000</v>
      </c>
      <c r="B10" s="28" t="n">
        <v>0.05</v>
      </c>
      <c r="C10" s="28" t="n">
        <v>0.05</v>
      </c>
    </row>
    <row r="11">
      <c r="A11" s="20" t="n">
        <v>800000</v>
      </c>
      <c r="B11" s="28" t="n">
        <v>0.1</v>
      </c>
      <c r="C11" s="28" t="n">
        <v>0.05</v>
      </c>
    </row>
    <row r="12">
      <c r="A12" s="20" t="n">
        <v>1200000</v>
      </c>
      <c r="B12" s="28" t="n">
        <v>0.15</v>
      </c>
      <c r="C12" s="28" t="n">
        <v>0.04999999999999999</v>
      </c>
    </row>
    <row r="13">
      <c r="A13" s="20" t="n">
        <v>1600000</v>
      </c>
      <c r="B13" s="28" t="n">
        <v>0.2</v>
      </c>
      <c r="C13" s="28" t="n">
        <v>0.05000000000000002</v>
      </c>
    </row>
    <row r="14">
      <c r="A14" s="20" t="n">
        <v>2000000</v>
      </c>
      <c r="B14" s="28" t="n">
        <v>0.25</v>
      </c>
      <c r="C14" s="28" t="n">
        <v>0.04999999999999999</v>
      </c>
    </row>
    <row r="15">
      <c r="A15" s="20" t="n">
        <v>2400000</v>
      </c>
      <c r="B15" s="28" t="n">
        <v>0.3</v>
      </c>
      <c r="C15" s="28" t="n">
        <v>0.04999999999999999</v>
      </c>
    </row>
    <row r="17">
      <c r="A17" s="6" t="inlineStr">
        <is>
          <t>Old regime slabs by age: from (₹) · rate step</t>
        </is>
      </c>
    </row>
    <row r="18">
      <c r="A18" s="27" t="inlineStr">
        <is>
          <t>Below 60</t>
        </is>
      </c>
      <c r="C18" s="27" t="inlineStr">
        <is>
          <t>60 to 80</t>
        </is>
      </c>
      <c r="E18" s="27" t="inlineStr">
        <is>
          <t>80 and above</t>
        </is>
      </c>
    </row>
    <row r="19">
      <c r="A19" s="20" t="n">
        <v>0</v>
      </c>
      <c r="B19" s="28" t="n">
        <v>0</v>
      </c>
      <c r="C19" s="20" t="n">
        <v>0</v>
      </c>
      <c r="D19" s="28" t="n">
        <v>0</v>
      </c>
      <c r="E19" s="20" t="n">
        <v>0</v>
      </c>
      <c r="F19" s="28" t="n">
        <v>0</v>
      </c>
    </row>
    <row r="20">
      <c r="A20" s="20" t="n">
        <v>250000</v>
      </c>
      <c r="B20" s="28" t="n">
        <v>0.05</v>
      </c>
      <c r="C20" s="20" t="n">
        <v>300000</v>
      </c>
      <c r="D20" s="28" t="n">
        <v>0.05</v>
      </c>
      <c r="E20" s="20" t="n">
        <v>500000</v>
      </c>
      <c r="F20" s="28" t="n">
        <v>0.2</v>
      </c>
    </row>
    <row r="21">
      <c r="A21" s="20" t="n">
        <v>500000</v>
      </c>
      <c r="B21" s="28" t="n">
        <v>0.15</v>
      </c>
      <c r="C21" s="20" t="n">
        <v>500000</v>
      </c>
      <c r="D21" s="28" t="n">
        <v>0.15</v>
      </c>
      <c r="E21" s="20" t="n">
        <v>1000000</v>
      </c>
      <c r="F21" s="28" t="n">
        <v>0.09999999999999998</v>
      </c>
    </row>
    <row r="22">
      <c r="A22" s="20" t="n">
        <v>1000000</v>
      </c>
      <c r="B22" s="28" t="n">
        <v>0.09999999999999998</v>
      </c>
      <c r="C22" s="20" t="n">
        <v>1000000</v>
      </c>
      <c r="D22" s="28" t="n">
        <v>0.09999999999999998</v>
      </c>
      <c r="E22" s="20" t="n">
        <v>1000000000000000</v>
      </c>
      <c r="F22" s="28" t="n">
        <v>0</v>
      </c>
    </row>
    <row r="26">
      <c r="A26" s="6" t="inlineStr">
        <is>
          <t>Age bands (for the drop-down)</t>
        </is>
      </c>
    </row>
    <row r="27">
      <c r="A27" t="inlineStr">
        <is>
          <t>Below 60</t>
        </is>
      </c>
    </row>
    <row r="28">
      <c r="A28" t="inlineStr">
        <is>
          <t>60 to 80</t>
        </is>
      </c>
    </row>
    <row r="29">
      <c r="A29" t="inlineStr">
        <is>
          <t>80 and above</t>
        </is>
      </c>
    </row>
    <row r="31">
      <c r="A31" s="6" t="inlineStr">
        <is>
          <t>HRA: metro cities that get the 50% limit (2026-27)</t>
        </is>
      </c>
    </row>
    <row r="32">
      <c r="A32" t="inlineStr">
        <is>
          <t>Delhi</t>
        </is>
      </c>
    </row>
    <row r="33">
      <c r="A33" t="inlineStr">
        <is>
          <t>Mumbai</t>
        </is>
      </c>
    </row>
    <row r="34">
      <c r="A34" t="inlineStr">
        <is>
          <t>Chennai</t>
        </is>
      </c>
    </row>
    <row r="35">
      <c r="A35" t="inlineStr">
        <is>
          <t>Kolkata</t>
        </is>
      </c>
    </row>
    <row r="36">
      <c r="A36" t="inlineStr">
        <is>
          <t>Bengaluru</t>
        </is>
      </c>
    </row>
    <row r="37">
      <c r="A37" t="inlineStr">
        <is>
          <t>Hyderabad</t>
        </is>
      </c>
    </row>
    <row r="38">
      <c r="A38" t="inlineStr">
        <is>
          <t>Pune</t>
        </is>
      </c>
    </row>
    <row r="39">
      <c r="A39" t="inlineStr">
        <is>
          <t>Ahmedabad</t>
        </is>
      </c>
    </row>
    <row r="40">
      <c r="A40" t="inlineStr">
        <is>
          <t>Other city</t>
        </is>
      </c>
    </row>
    <row r="42">
      <c r="A42" s="14" t="inlineStr">
        <is>
          <t>Sources: Finance Bill 2026 memorandum (no change in rates); incometaxindia.gov.in tax rates; Income-tax Act 2025. Surcharge above ₹50 lakh is not included in this kit.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Kalpa Labs</dc:creator>
  <dc:title xmlns:dc="http://purl.org/dc/elements/1.1/">Salary Tax-Regime + SIP Goal Planner 2026-27</dc:title>
  <dcterms:created xmlns:dcterms="http://purl.org/dc/terms/" xmlns:xsi="http://www.w3.org/2001/XMLSchema-instance" xsi:type="dcterms:W3CDTF">2026-10-16T16:18:33Z</dcterms:created>
  <dcterms:modified xmlns:dcterms="http://purl.org/dc/terms/" xmlns:xsi="http://www.w3.org/2001/XMLSchema-instance" xsi:type="dcterms:W3CDTF">2026-10-16T16:18:33Z</dcterms:modified>
</cp:coreProperties>
</file>